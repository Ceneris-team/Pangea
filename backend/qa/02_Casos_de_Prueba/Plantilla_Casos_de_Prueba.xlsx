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5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Casos de Prueba" sheetId="2" state="visible" r:id="rId2"/>
    <sheet xmlns:r="http://schemas.openxmlformats.org/officeDocument/2006/relationships" name="Regresión" sheetId="3" state="visible" r:id="rId3"/>
    <sheet xmlns:r="http://schemas.openxmlformats.org/officeDocument/2006/relationships" name="Escenarios Estrés y Carga" sheetId="4" state="visible" r:id="rId4"/>
    <sheet xmlns:r="http://schemas.openxmlformats.org/officeDocument/2006/relationships" name="Pruebas No Funcionales" sheetId="5" state="visible" r:id="rId5"/>
    <sheet xmlns:r="http://schemas.openxmlformats.org/officeDocument/2006/relationships" name="Resumen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3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2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Arial"/>
      <family val="2"/>
      <sz val="10"/>
    </font>
    <font>
      <b val="1"/>
    </font>
    <font>
      <b val="1"/>
      <i val="1"/>
      <color rgb="002B6763"/>
    </font>
    <font>
      <name val="Segoe UI"/>
      <charset val="1"/>
      <family val="0"/>
      <b val="1"/>
      <color rgb="002B6763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2B6763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sz val="10"/>
    </font>
    <font>
      <name val="Segoe UI"/>
      <b val="1"/>
      <i val="1"/>
      <color rgb="002B6763"/>
    </font>
    <font>
      <name val="Segoe UI"/>
      <charset val="1"/>
      <family val="0"/>
      <b val="1"/>
      <color rgb="002B6763"/>
      <sz val="12"/>
    </font>
    <font>
      <name val="Segoe UI"/>
      <charset val="1"/>
      <family val="0"/>
      <b val="1"/>
      <color rgb="FFFFFFFF"/>
      <sz val="11"/>
    </font>
    <font>
      <name val="Segoe UI"/>
      <charset val="1"/>
      <family val="0"/>
      <b val="1"/>
      <color rgb="002B6763"/>
      <sz val="16"/>
    </font>
    <font>
      <name val="Segoe UI"/>
      <charset val="1"/>
      <family val="0"/>
      <color rgb="005F6870"/>
      <sz val="10"/>
    </font>
    <font>
      <name val="Segoe UI"/>
      <charset val="1"/>
      <family val="2"/>
      <color rgb="002A2F33"/>
      <sz val="11"/>
    </font>
    <font>
      <name val="Segoe UI"/>
      <b val="1"/>
      <color rgb="002A2F33"/>
    </font>
    <font>
      <i val="1"/>
      <color rgb="005F6870"/>
      <sz val="9"/>
    </font>
    <font>
      <name val="Segoe UI"/>
      <i val="1"/>
      <color rgb="005F6870"/>
      <sz val="9"/>
    </font>
  </fonts>
  <fills count="19">
    <fill>
      <patternFill/>
    </fill>
    <fill>
      <patternFill patternType="gray125"/>
    </fill>
    <fill>
      <patternFill patternType="solid">
        <fgColor rgb="FFDCE4F2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D9D9D9"/>
        <bgColor rgb="FFDCE4F2"/>
      </patternFill>
    </fill>
    <fill>
      <patternFill patternType="solid">
        <fgColor rgb="FFDDEBF7"/>
        <bgColor rgb="FFDCE4F2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00E3EFED"/>
      </patternFill>
    </fill>
    <fill>
      <patternFill patternType="solid">
        <fgColor rgb="00F3F4F5"/>
      </patternFill>
    </fill>
    <fill>
      <patternFill patternType="solid">
        <fgColor rgb="00E2F0E5"/>
      </patternFill>
    </fill>
    <fill>
      <patternFill patternType="solid">
        <fgColor rgb="00F8E1DE"/>
      </patternFill>
    </fill>
    <fill>
      <patternFill patternType="solid">
        <fgColor rgb="00FBEFC8"/>
      </patternFill>
    </fill>
    <fill>
      <patternFill patternType="solid">
        <fgColor rgb="00E4E7EA"/>
      </patternFill>
    </fill>
    <fill>
      <patternFill patternType="solid">
        <fgColor rgb="002B6763"/>
      </patternFill>
    </fill>
    <fill>
      <patternFill patternType="solid">
        <fgColor rgb="00FDF6E3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  <border>
      <left/>
      <right style="thin">
        <color rgb="00D5DADE"/>
      </right>
      <top/>
      <bottom style="thin">
        <color rgb="00D5DADE"/>
      </bottom>
    </border>
    <border>
      <left/>
      <right style="thin">
        <color rgb="00D5DADE"/>
      </right>
      <top style="thin">
        <color rgb="00D5DADE"/>
      </top>
      <bottom style="thin">
        <color rgb="00D5DADE"/>
      </bottom>
    </border>
    <border>
      <left/>
      <right/>
      <top/>
      <bottom style="thin">
        <color rgb="00D5DADE"/>
      </bottom>
    </border>
    <border>
      <left/>
      <right style="thin">
        <color rgb="00D5DADE"/>
      </right>
      <top/>
      <bottom/>
      <diagonal/>
    </border>
    <border>
      <left/>
      <right style="thin">
        <color rgb="00D5DADE"/>
      </right>
      <top/>
      <bottom style="thin">
        <color rgb="00D5DADE"/>
      </bottom>
      <diagonal/>
    </border>
    <border>
      <left/>
      <right/>
      <top style="thin">
        <color rgb="00D5DADE"/>
      </top>
      <bottom/>
      <diagonal/>
    </border>
    <border>
      <left/>
      <right style="thin">
        <color rgb="00D5DADE"/>
      </right>
      <top style="thin">
        <color rgb="00D5DADE"/>
      </top>
      <bottom/>
      <diagonal/>
    </border>
    <border>
      <left/>
      <right style="thin">
        <color rgb="00D5DADE"/>
      </right>
      <top style="thin">
        <color rgb="00D5DADE"/>
      </top>
      <bottom style="thin">
        <color rgb="00D5DADE"/>
      </bottom>
      <diagonal/>
    </border>
    <border>
      <left/>
      <right/>
      <top/>
      <bottom style="thin">
        <color rgb="00D5DA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10" fillId="9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9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0" fillId="0" borderId="2" pivotButton="0" quotePrefix="0" xfId="0"/>
    <xf numFmtId="0" fontId="10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7" fillId="1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9" borderId="1" applyAlignment="1" pivotButton="0" quotePrefix="0" xfId="0">
      <alignment horizontal="general" vertical="top" wrapText="1"/>
    </xf>
    <xf numFmtId="0" fontId="0" fillId="0" borderId="6" pivotButton="0" quotePrefix="0" xfId="0"/>
    <xf numFmtId="0" fontId="7" fillId="5" borderId="1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7" pivotButton="0" quotePrefix="0" xfId="0"/>
    <xf numFmtId="0" fontId="18" fillId="0" borderId="0" applyAlignment="1" pivotButton="0" quotePrefix="0" xfId="0">
      <alignment horizontal="general" vertical="top"/>
    </xf>
    <xf numFmtId="0" fontId="19" fillId="0" borderId="0" pivotButton="0" quotePrefix="0" xfId="0"/>
    <xf numFmtId="0" fontId="20" fillId="0" borderId="0" applyAlignment="1" pivotButton="0" quotePrefix="0" xfId="0">
      <alignment horizontal="general" vertical="top"/>
    </xf>
    <xf numFmtId="0" fontId="21" fillId="11" borderId="8" applyAlignment="1" pivotButton="0" quotePrefix="0" xfId="0">
      <alignment horizontal="general" vertical="top"/>
    </xf>
    <xf numFmtId="0" fontId="22" fillId="0" borderId="8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top"/>
    </xf>
    <xf numFmtId="0" fontId="21" fillId="0" borderId="8" applyAlignment="1" pivotButton="0" quotePrefix="0" xfId="0">
      <alignment horizontal="general" vertical="top"/>
    </xf>
    <xf numFmtId="0" fontId="21" fillId="12" borderId="8" applyAlignment="1" pivotButton="0" quotePrefix="0" xfId="0">
      <alignment horizontal="general" vertical="top"/>
    </xf>
    <xf numFmtId="0" fontId="21" fillId="13" borderId="8" applyAlignment="1" pivotButton="0" quotePrefix="0" xfId="0">
      <alignment horizontal="general" vertical="top"/>
    </xf>
    <xf numFmtId="0" fontId="21" fillId="14" borderId="8" applyAlignment="1" pivotButton="0" quotePrefix="0" xfId="0">
      <alignment horizontal="general" vertical="top"/>
    </xf>
    <xf numFmtId="0" fontId="21" fillId="15" borderId="8" applyAlignment="1" pivotButton="0" quotePrefix="0" xfId="0">
      <alignment horizontal="general" vertical="top"/>
    </xf>
    <xf numFmtId="0" fontId="21" fillId="16" borderId="8" applyAlignment="1" pivotButton="0" quotePrefix="0" xfId="0">
      <alignment horizontal="general" vertical="top"/>
    </xf>
    <xf numFmtId="0" fontId="24" fillId="0" borderId="9" applyAlignment="1" pivotButton="0" quotePrefix="0" xfId="0">
      <alignment horizontal="general" vertical="top" wrapText="1"/>
    </xf>
    <xf numFmtId="0" fontId="19" fillId="0" borderId="9" pivotButton="0" quotePrefix="0" xfId="0"/>
    <xf numFmtId="0" fontId="25" fillId="17" borderId="8" applyAlignment="1" pivotButton="0" quotePrefix="0" xfId="0">
      <alignment horizontal="center" vertical="top" wrapText="1"/>
    </xf>
    <xf numFmtId="0" fontId="22" fillId="18" borderId="8" applyAlignment="1" pivotButton="0" quotePrefix="0" xfId="0">
      <alignment horizontal="general" vertical="top" wrapText="1"/>
    </xf>
    <xf numFmtId="0" fontId="22" fillId="13" borderId="8" applyAlignment="1" pivotButton="0" quotePrefix="0" xfId="0">
      <alignment horizontal="general" vertical="top" wrapText="1"/>
    </xf>
    <xf numFmtId="0" fontId="26" fillId="0" borderId="8" applyAlignment="1" pivotButton="0" quotePrefix="0" xfId="0">
      <alignment horizontal="general" vertical="top" wrapText="1"/>
    </xf>
    <xf numFmtId="0" fontId="26" fillId="0" borderId="8" applyAlignment="1" pivotButton="0" quotePrefix="0" xfId="0">
      <alignment horizontal="center" vertical="top" wrapText="1"/>
    </xf>
    <xf numFmtId="0" fontId="22" fillId="16" borderId="8" applyAlignment="1" pivotButton="0" quotePrefix="0" xfId="0">
      <alignment horizontal="general" vertical="top" wrapText="1"/>
    </xf>
    <xf numFmtId="0" fontId="26" fillId="18" borderId="8" applyAlignment="1" pivotButton="0" quotePrefix="0" xfId="0">
      <alignment horizontal="general" vertical="top" wrapText="1"/>
    </xf>
    <xf numFmtId="0" fontId="26" fillId="16" borderId="8" applyAlignment="1" pivotButton="0" quotePrefix="0" xfId="0">
      <alignment horizontal="general" vertical="top" wrapText="1"/>
    </xf>
    <xf numFmtId="0" fontId="26" fillId="13" borderId="8" applyAlignment="1" pivotButton="0" quotePrefix="0" xfId="0">
      <alignment horizontal="general" vertical="top" wrapText="1"/>
    </xf>
    <xf numFmtId="0" fontId="26" fillId="14" borderId="8" applyAlignment="1" pivotButton="0" quotePrefix="0" xfId="0">
      <alignment horizontal="general" vertical="top" wrapText="1"/>
    </xf>
    <xf numFmtId="0" fontId="27" fillId="0" borderId="0" applyAlignment="1" pivotButton="0" quotePrefix="0" xfId="0">
      <alignment vertical="top" wrapText="1"/>
    </xf>
    <xf numFmtId="0" fontId="28" fillId="0" borderId="0" applyAlignment="1" pivotButton="0" quotePrefix="0" xfId="0">
      <alignment horizontal="general" vertical="top"/>
    </xf>
    <xf numFmtId="0" fontId="29" fillId="17" borderId="8" applyAlignment="1" pivotButton="0" quotePrefix="0" xfId="0">
      <alignment horizontal="general" vertical="top" wrapText="1"/>
    </xf>
    <xf numFmtId="0" fontId="19" fillId="0" borderId="10" pivotButton="0" quotePrefix="0" xfId="0"/>
    <xf numFmtId="0" fontId="26" fillId="14" borderId="8" applyAlignment="1" pivotButton="0" quotePrefix="0" xfId="0">
      <alignment horizontal="center" vertical="top" wrapText="1"/>
    </xf>
    <xf numFmtId="0" fontId="30" fillId="0" borderId="0" applyAlignment="1" pivotButton="0" quotePrefix="0" xfId="0">
      <alignment horizontal="general" vertical="top"/>
    </xf>
    <xf numFmtId="0" fontId="31" fillId="0" borderId="0" applyAlignment="1" pivotButton="0" quotePrefix="0" xfId="0">
      <alignment horizontal="general" vertical="top"/>
    </xf>
    <xf numFmtId="0" fontId="25" fillId="17" borderId="8" applyAlignment="1" pivotButton="0" quotePrefix="0" xfId="0">
      <alignment horizontal="general" vertical="top"/>
    </xf>
    <xf numFmtId="0" fontId="22" fillId="0" borderId="8" applyAlignment="1" pivotButton="0" quotePrefix="0" xfId="0">
      <alignment horizontal="general" vertical="top"/>
    </xf>
    <xf numFmtId="0" fontId="19" fillId="0" borderId="8" applyAlignment="1" pivotButton="0" quotePrefix="0" xfId="0">
      <alignment horizontal="general" vertical="bottom"/>
    </xf>
    <xf numFmtId="164" fontId="22" fillId="0" borderId="8" applyAlignment="1" pivotButton="0" quotePrefix="0" xfId="0">
      <alignment horizontal="general" vertical="top"/>
    </xf>
    <xf numFmtId="0" fontId="19" fillId="0" borderId="0" applyAlignment="1" pivotButton="0" quotePrefix="0" xfId="0">
      <alignment horizontal="general" vertical="bottom"/>
    </xf>
    <xf numFmtId="0" fontId="32" fillId="0" borderId="8" applyAlignment="1" pivotButton="0" quotePrefix="0" xfId="0">
      <alignment horizontal="general" vertical="top" wrapText="1"/>
    </xf>
    <xf numFmtId="0" fontId="32" fillId="0" borderId="9" applyAlignment="1" pivotButton="0" quotePrefix="0" xfId="0">
      <alignment horizontal="general" vertical="top"/>
    </xf>
    <xf numFmtId="0" fontId="19" fillId="0" borderId="11" pivotButton="0" quotePrefix="0" xfId="0"/>
    <xf numFmtId="0" fontId="33" fillId="0" borderId="8" applyAlignment="1" pivotButton="0" quotePrefix="0" xfId="0">
      <alignment horizontal="general" vertical="top"/>
    </xf>
    <xf numFmtId="0" fontId="35" fillId="0" borderId="0" applyAlignment="1" pivotButton="0" quotePrefix="0" xfId="0">
      <alignment horizontal="general" vertical="top"/>
    </xf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FF9999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DE1F5"/>
        </patternFill>
      </fill>
    </dxf>
    <dxf>
      <fill>
        <patternFill patternType="solid">
          <bgColor rgb="00F8E1DE"/>
        </patternFill>
      </fill>
    </dxf>
    <dxf>
      <fill>
        <patternFill patternType="solid">
          <bgColor rgb="00E2F0E5"/>
        </patternFill>
      </fill>
    </dxf>
    <dxf>
      <fill>
        <patternFill patternType="solid">
          <bgColor rgb="00FBEFC8"/>
        </patternFill>
      </fill>
    </dxf>
    <dxf>
      <fill>
        <patternFill patternType="solid">
          <bgColor rgb="00F3F4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CE4F2"/>
      <rgbColor rgb="FFFF9999"/>
      <rgbColor rgb="FFEDE1F5"/>
      <rgbColor rgb="FFFFC7CE"/>
      <rgbColor rgb="FF3366FF"/>
      <rgbColor rgb="FF33CCCC"/>
      <rgbColor rgb="FF99CC00"/>
      <rgbColor rgb="FFFCE4D6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'Resumen'!A58</f>
            </strRef>
          </tx>
          <spPr>
            <a:solidFill xmlns:a="http://schemas.openxmlformats.org/drawingml/2006/main">
              <a:srgbClr val="2B6763"/>
            </a:solidFill>
            <a:ln xmlns:a="http://schemas.openxmlformats.org/drawingml/2006/main">
              <a:solidFill>
                <a:srgbClr val="2B6763"/>
              </a:solidFill>
              <a:prstDash val="solid"/>
            </a:ln>
          </spPr>
          <cat>
            <numRef>
              <f>'Resumen'!$B$57:$G$57</f>
            </numRef>
          </cat>
          <val>
            <numRef>
              <f>'Resumen'!$B$58:$G$58</f>
            </numRef>
          </val>
        </ser>
        <ser>
          <idx val="1"/>
          <order val="1"/>
          <tx>
            <strRef>
              <f>'Resumen'!A59</f>
            </strRef>
          </tx>
          <spPr>
            <a:solidFill xmlns:a="http://schemas.openxmlformats.org/drawingml/2006/main">
              <a:srgbClr val="8DBDB7"/>
            </a:solidFill>
            <a:ln xmlns:a="http://schemas.openxmlformats.org/drawingml/2006/main">
              <a:solidFill>
                <a:srgbClr val="8DBDB7"/>
              </a:solidFill>
              <a:prstDash val="solid"/>
            </a:ln>
          </spPr>
          <cat>
            <numRef>
              <f>'Resumen'!$B$57:$G$57</f>
            </numRef>
          </cat>
          <val>
            <numRef>
              <f>'Resumen'!$B$59:$G$59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  <majorUnit val="2"/>
      </valAx>
    </plotArea>
    <legend>
      <legendPos val="t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Unknown Author</author>
  </authors>
  <commentList>
    <comment ref="A34" authorId="0" shapeId="0">
      <text>
        <t>Escribe en la columna A el ID de la historia seguido de la HU (ej.: «SIG-31 HU-02»). La primera palabra es la clave con la que se cuentan los casos de la hoja Casos de Prueba (columna Historia).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62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B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55" activeCellId="0" sqref="A55"/>
    </sheetView>
  </sheetViews>
  <sheetFormatPr baseColWidth="8" defaultColWidth="8.6796875" defaultRowHeight="15" zeroHeight="0" outlineLevelRow="0"/>
  <cols>
    <col width="30" customWidth="1" style="32" min="1" max="1"/>
    <col width="95" customWidth="1" style="32" min="2" max="2"/>
  </cols>
  <sheetData>
    <row r="1" ht="23.25" customHeight="1" s="33">
      <c r="A1" s="67" t="inlineStr">
        <is>
          <t>Casos de Prueba</t>
        </is>
      </c>
      <c r="B1" s="68" t="n"/>
    </row>
    <row r="2" ht="18.5" customHeight="1" s="33">
      <c r="A2" s="69" t="inlineStr">
        <is>
          <t>[Nombre del proyecto] (tablero [CLAVE])</t>
        </is>
      </c>
      <c r="B2" s="68" t="n"/>
    </row>
    <row r="3" s="33">
      <c r="A3" s="68" t="n"/>
      <c r="B3" s="68" t="n"/>
    </row>
    <row r="4" ht="18.5" customHeight="1" s="33">
      <c r="A4" s="70" t="inlineStr">
        <is>
          <t>Entregable</t>
        </is>
      </c>
      <c r="B4" s="71" t="inlineStr">
        <is>
          <t>Matriz de Responsabilidades de Documentación - rol Aseguramiento de Calidad (QA)</t>
        </is>
      </c>
    </row>
    <row r="5" ht="33" customHeight="1" s="33">
      <c r="A5" s="70" t="inlineStr">
        <is>
          <t>Documentos que cubre</t>
        </is>
      </c>
      <c r="B5" s="71" t="inlineStr">
        <is>
          <t>Casos de prueba funcionales y pruebas no funcionales de las historias del tablero [CLAVE] ([Sprint]: [lista de historias]). Escenarios de estrés y carga en la hoja «Escenarios Estrés y Carga».</t>
        </is>
      </c>
    </row>
    <row r="6" ht="18.5" customHeight="1" s="33">
      <c r="A6" s="70" t="inlineStr">
        <is>
          <t>Responsable</t>
        </is>
      </c>
      <c r="B6" s="71" t="inlineStr">
        <is>
          <t>[Nombre y apellido], [rol]</t>
        </is>
      </c>
    </row>
    <row r="7" ht="18.5" customHeight="1" s="33">
      <c r="A7" s="70" t="inlineStr">
        <is>
          <t>Versión</t>
        </is>
      </c>
      <c r="B7" s="71" t="n">
        <v>0.1</v>
      </c>
    </row>
    <row r="8" ht="33" customHeight="1" s="33">
      <c r="A8" s="70" t="inlineStr">
        <is>
          <t>Fecha de elaboración</t>
        </is>
      </c>
      <c r="B8" s="71" t="inlineStr">
        <is>
          <t>[dd/mm/aaaa] · [Sprint o periodo: fecha inicio al fecha fin]</t>
        </is>
      </c>
    </row>
    <row r="9" ht="18.5" customHeight="1" s="33">
      <c r="A9" s="70" t="inlineStr">
        <is>
          <t>Estado</t>
        </is>
      </c>
      <c r="B9" s="71" t="inlineStr">
        <is>
          <t>Borrador ( )     En revisión (X)     Aprobado ( )</t>
        </is>
      </c>
    </row>
    <row r="10" ht="18.5" customHeight="1" s="33">
      <c r="A10" s="70" t="inlineStr">
        <is>
          <t>Aprobado por</t>
        </is>
      </c>
      <c r="B10" s="71" t="inlineStr">
        <is>
          <t>Scrum Master  /  Product Owner de [Proyecto]</t>
        </is>
      </c>
    </row>
    <row r="11" s="33">
      <c r="A11" s="68" t="n"/>
      <c r="B11" s="68" t="n"/>
    </row>
    <row r="12" ht="18.5" customHeight="1" s="33">
      <c r="A12" s="72" t="inlineStr">
        <is>
          <t>Cómo se usa este libro</t>
        </is>
      </c>
      <c r="B12" s="68" t="n"/>
    </row>
    <row r="13" s="33">
      <c r="A13" s="68" t="n"/>
      <c r="B13" s="68" t="n"/>
    </row>
    <row r="14" ht="62" customHeight="1" s="33">
      <c r="A14" s="73" t="inlineStr">
        <is>
          <t>Casos de Prueba</t>
        </is>
      </c>
      <c r="B14" s="71" t="inlineStr">
        <is>
          <t>Casos funcionales. Antes de ejecutar se escriben todas las columnas blancas. Durante la ejecución se llenan las amarillas: Resultado obtenido, Estado, Defecto, Evidencia, Ejecutado por y Fecha. Test automatizado, Entorno y Commit probado dicen qué prueba respalda el caso, contra qué se ejecutó y sobre qué versión del código.</t>
        </is>
      </c>
    </row>
    <row r="15" ht="91" customHeight="1" s="33">
      <c r="A15" s="73" t="inlineStr">
        <is>
          <t>Pruebas No Funcionales</t>
        </is>
      </c>
      <c r="B15" s="71" t="inlineStr">
        <is>
          <t>Miden cómo se comporta el sistema (rapidez, aguante, límites, recuperación), no qué hace. Cada fila tiene su Tipo; ver la leyenda más abajo. Si no aplica en un ciclo, la hoja (y Escenarios Estrés y Carga) se deja visible con la nota «No aplica en este ciclo».</t>
        </is>
      </c>
    </row>
    <row r="16" ht="47.5" customHeight="1" s="33">
      <c r="A16" s="73" t="inlineStr">
        <is>
          <t>Regresión</t>
        </is>
      </c>
      <c r="B16" s="71" t="inlineStr">
        <is>
          <t>Suite para repetir cuando se corrigen defectos. Humo: flujo principal de cada historia, va primero. Reprueba: los casos que fallaron, se repiten cuando su defecto pasa a «Corregido». Regresión: casos Críticos y Altos que ya pasan, para comprobar que la corrección no rompió nada.</t>
        </is>
      </c>
    </row>
    <row r="17" ht="33" customHeight="1" s="33">
      <c r="A17" s="73" t="inlineStr">
        <is>
          <t>Resumen</t>
        </is>
      </c>
      <c r="B17" s="71" t="inlineStr">
        <is>
          <t>Se calcula solo a partir de las hojas Casos de Prueba, Pruebas No Funcionales y Regresión. No escribir en ella.</t>
        </is>
      </c>
    </row>
    <row r="18" ht="47.5" customHeight="1" s="33">
      <c r="A18" s="73" t="inlineStr">
        <is>
          <t>Usuarios de prueba</t>
        </is>
      </c>
      <c r="B18" s="71" t="inlineStr">
        <is>
          <t>Por definir: las cuentas de prueba de [Proyecto] se anotan aquí al escribir los casos. La contraseña está en el seed de usuarios de prueba (no se copia aquí).</t>
        </is>
      </c>
    </row>
    <row r="19" ht="33" customHeight="1" s="33">
      <c r="A19" s="73" t="inlineStr">
        <is>
          <t>Evidencias</t>
        </is>
      </c>
      <c r="B19" s="71" t="inlineStr">
        <is>
          <t>Al ejecutar un caso se escribe en la columna Evidencia el ID del archivo (EV-CP-xxx) registrado en Registro_de_Evidencias.xlsx (carpeta 03).</t>
        </is>
      </c>
    </row>
    <row r="20" s="33">
      <c r="A20" s="68" t="n"/>
      <c r="B20" s="68" t="n"/>
    </row>
    <row r="21" ht="18.5" customHeight="1" s="33">
      <c r="A21" s="72" t="inlineStr">
        <is>
          <t>Leyenda de Estado</t>
        </is>
      </c>
      <c r="B21" s="68" t="n"/>
    </row>
    <row r="22" s="33">
      <c r="A22" s="68" t="n"/>
      <c r="B22" s="68" t="n"/>
    </row>
    <row r="23" ht="18.5" customHeight="1" s="33">
      <c r="A23" s="74" t="inlineStr">
        <is>
          <t>Pendiente</t>
        </is>
      </c>
      <c r="B23" s="71" t="inlineStr">
        <is>
          <t>Todavía no se ejecuta.</t>
        </is>
      </c>
    </row>
    <row r="24" ht="18.5" customHeight="1" s="33">
      <c r="A24" s="75" t="inlineStr">
        <is>
          <t>Aprobado</t>
        </is>
      </c>
      <c r="B24" s="71" t="inlineStr">
        <is>
          <t>El resultado obtenido coincide con el esperado.</t>
        </is>
      </c>
    </row>
    <row r="25" ht="18.5" customHeight="1" s="33">
      <c r="A25" s="76" t="inlineStr">
        <is>
          <t>Fallido</t>
        </is>
      </c>
      <c r="B25" s="71" t="inlineStr">
        <is>
          <t>No coincide. Debe existir un número de defecto (DEF-xx) en la columna Defecto.</t>
        </is>
      </c>
    </row>
    <row r="26" ht="18.5" customHeight="1" s="33">
      <c r="A26" s="77" t="inlineStr">
        <is>
          <t>Bloqueado</t>
        </is>
      </c>
      <c r="B26" s="71" t="inlineStr">
        <is>
          <t>No se pudo ejecutar por una causa externa: HU sin desarrollar, ambiente caído o dato no disponible.</t>
        </is>
      </c>
    </row>
    <row r="27" ht="18.5" customHeight="1" s="33">
      <c r="A27" s="78" t="inlineStr">
        <is>
          <t>No aplica</t>
        </is>
      </c>
      <c r="B27" s="71" t="inlineStr">
        <is>
          <t>La funcionalidad no está en esta versión.</t>
        </is>
      </c>
    </row>
    <row r="28" s="33">
      <c r="A28" s="68" t="n"/>
      <c r="B28" s="68" t="n"/>
    </row>
    <row r="29" ht="18.5" customHeight="1" s="33">
      <c r="A29" s="72" t="inlineStr">
        <is>
          <t>Tipos de prueba no funcional (hoja Pruebas No Funcionales)</t>
        </is>
      </c>
      <c r="B29" s="68" t="n"/>
    </row>
    <row r="30" s="33">
      <c r="A30" s="68" t="n"/>
      <c r="B30" s="68" t="n"/>
    </row>
    <row r="31" ht="18.5" customHeight="1" s="33">
      <c r="A31" s="73" t="inlineStr">
        <is>
          <t>Carga</t>
        </is>
      </c>
      <c r="B31" s="71" t="inlineStr">
        <is>
          <t>¿Aguanta el uso normal en hora pico? Se aplica la carga esperada y se mide si cumple la meta.</t>
        </is>
      </c>
    </row>
    <row r="32" ht="33" customHeight="1" s="33">
      <c r="A32" s="73" t="inlineStr">
        <is>
          <t>Estrés</t>
        </is>
      </c>
      <c r="B32" s="71" t="inlineStr">
        <is>
          <t>¿Hasta dónde aguanta y cómo falla? Se sube la carga por encima de lo normal, en escalones, hasta encontrar el punto de quiebre.</t>
        </is>
      </c>
    </row>
    <row r="33" ht="33" customHeight="1" s="33">
      <c r="A33" s="73" t="inlineStr">
        <is>
          <t>Volumen</t>
        </is>
      </c>
      <c r="B33" s="71" t="inlineStr">
        <is>
          <t>¿Sigue rápido con muchos datos acumulados? La carga de usuarios es baja; lo grande es la cantidad de datos.</t>
        </is>
      </c>
    </row>
    <row r="34" ht="18.5" customHeight="1" s="33">
      <c r="A34" s="73" t="inlineStr">
        <is>
          <t>Límites</t>
        </is>
      </c>
      <c r="B34" s="71" t="inlineStr">
        <is>
          <t>¿Respeta los topes definidos? Se prueba justo en el máximo permitido y justo por encima.</t>
        </is>
      </c>
    </row>
    <row r="35" ht="18.5" customHeight="1" s="33">
      <c r="A35" s="73" t="inlineStr">
        <is>
          <t>Recuperación</t>
        </is>
      </c>
      <c r="B35" s="71" t="inlineStr">
        <is>
          <t>¿Queda consistente después de una falla? Se corta el servidor o la red a mitad de una operación.</t>
        </is>
      </c>
    </row>
    <row r="36" s="33">
      <c r="A36" s="68" t="n"/>
      <c r="B36" s="68" t="n"/>
    </row>
    <row r="37" ht="18.5" customHeight="1" s="33">
      <c r="A37" s="72" t="inlineStr">
        <is>
          <t>Estado de las pruebas no funcionales</t>
        </is>
      </c>
      <c r="B37" s="68" t="n"/>
    </row>
    <row r="38" s="33">
      <c r="A38" s="68" t="n"/>
      <c r="B38" s="68" t="n"/>
    </row>
    <row r="39" ht="18.5" customHeight="1" s="33">
      <c r="A39" s="74" t="inlineStr">
        <is>
          <t>Pendiente</t>
        </is>
      </c>
      <c r="B39" s="71" t="inlineStr">
        <is>
          <t>Todavía no se ejecuta.</t>
        </is>
      </c>
    </row>
    <row r="40" ht="18.5" customHeight="1" s="33">
      <c r="A40" s="75" t="inlineStr">
        <is>
          <t>Cumple</t>
        </is>
      </c>
      <c r="B40" s="71" t="inlineStr">
        <is>
          <t>El resultado alcanza la meta acordada.</t>
        </is>
      </c>
    </row>
    <row r="41" ht="18.5" customHeight="1" s="33">
      <c r="A41" s="76" t="inlineStr">
        <is>
          <t>No cumple</t>
        </is>
      </c>
      <c r="B41" s="71" t="inlineStr">
        <is>
          <t>No alcanza la meta. Se registra un defecto.</t>
        </is>
      </c>
    </row>
    <row r="42" ht="18.5" customHeight="1" s="33">
      <c r="A42" s="70" t="inlineStr">
        <is>
          <t>Informativo</t>
        </is>
      </c>
      <c r="B42" s="71" t="inlineStr">
        <is>
          <t>Se midió sin una meta definida: el dato queda como referencia.</t>
        </is>
      </c>
    </row>
    <row r="43" ht="18.5" customHeight="1" s="33">
      <c r="A43" s="77" t="inlineStr">
        <is>
          <t>Bloqueado</t>
        </is>
      </c>
      <c r="B43" s="71" t="inlineStr">
        <is>
          <t>No se pudo ejecutar (HU sin desarrollar o ambiente no disponible).</t>
        </is>
      </c>
    </row>
    <row r="44" s="33">
      <c r="A44" s="68" t="n"/>
      <c r="B44" s="68" t="n"/>
    </row>
    <row r="45" ht="18.5" customHeight="1" s="33">
      <c r="A45" s="72" t="inlineStr">
        <is>
          <t>Tipos de caso funcional (hoja Casos de Prueba)</t>
        </is>
      </c>
      <c r="B45" s="68" t="n"/>
    </row>
    <row r="46" s="33">
      <c r="A46" s="68" t="n"/>
      <c r="B46" s="68" t="n"/>
    </row>
    <row r="47" ht="18.5" customHeight="1" s="33">
      <c r="A47" s="73" t="inlineStr">
        <is>
          <t>Funcional</t>
        </is>
      </c>
      <c r="B47" s="71" t="inlineStr">
        <is>
          <t>Camino feliz de la funcionalidad.</t>
        </is>
      </c>
    </row>
    <row r="48" ht="18.5" customHeight="1" s="33">
      <c r="A48" s="73" t="inlineStr">
        <is>
          <t>Negativa</t>
        </is>
      </c>
      <c r="B48" s="71" t="inlineStr">
        <is>
          <t>Entrada inválida: el sistema debe rechazarla sin dejar datos a medias.</t>
        </is>
      </c>
    </row>
    <row r="49" ht="18.5" customHeight="1" s="33">
      <c r="A49" s="73" t="inlineStr">
        <is>
          <t>Límite</t>
        </is>
      </c>
      <c r="B49" s="71" t="inlineStr">
        <is>
          <t>Valores en el borde de una regla (tamaños, fechas, cantidades).</t>
        </is>
      </c>
    </row>
    <row r="50" ht="33" customHeight="1" s="33">
      <c r="A50" s="73" t="inlineStr">
        <is>
          <t>Seguridad</t>
        </is>
      </c>
      <c r="B50" s="71" t="inlineStr">
        <is>
          <t>Permisos por rol, en la pantalla y en la API. Va aquí y no en No Funcionales porque cada permiso es un criterio de aceptación de la HU.</t>
        </is>
      </c>
    </row>
    <row r="51" ht="18.5" customHeight="1" s="33">
      <c r="A51" s="73" t="inlineStr">
        <is>
          <t>E2E</t>
        </is>
      </c>
      <c r="B51" s="71" t="inlineStr">
        <is>
          <t>Recorrido completo hasta el entregable (PDF, Excel).</t>
        </is>
      </c>
    </row>
    <row r="52" ht="18.5" customHeight="1" s="33">
      <c r="A52" s="73" t="inlineStr">
        <is>
          <t>Regresión</t>
        </is>
      </c>
      <c r="B52" s="71" t="inlineStr">
        <is>
          <t>Lo que ya funcionaba debe seguir funcionando.</t>
        </is>
      </c>
    </row>
    <row r="53" s="33">
      <c r="A53" s="68" t="n"/>
      <c r="B53" s="68" t="n"/>
    </row>
    <row r="54" ht="62" customHeight="1" s="33">
      <c r="A54" s="79" t="inlineStr">
        <is>
          <t>Plantilla en blanco (v0.2). Reemplaza los valores entre [corchetes] con los datos del proyecto y borra esta nota.</t>
        </is>
      </c>
      <c r="B54" s="108" t="n"/>
    </row>
  </sheetData>
  <mergeCells count="1">
    <mergeCell ref="A54:B5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S19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9" customWidth="1" style="33" min="1" max="1"/>
    <col width="13" customWidth="1" style="33" min="2" max="2"/>
    <col width="13" customWidth="1" style="33" min="3" max="3"/>
    <col width="11" customWidth="1" style="33" min="4" max="4"/>
    <col width="10" customWidth="1" style="33" min="5" max="5"/>
    <col width="18" customWidth="1" style="33" min="6" max="6"/>
    <col width="28" customWidth="1" style="33" min="7" max="7"/>
    <col width="40" customWidth="1" style="33" min="8" max="8"/>
    <col width="44" customWidth="1" style="33" min="9" max="9"/>
    <col width="40" customWidth="1" style="33" min="10" max="10"/>
    <col width="36" customWidth="1" style="33" min="11" max="11"/>
    <col width="12" customWidth="1" style="33" min="12" max="12"/>
    <col width="10" customWidth="1" style="33" min="13" max="13"/>
    <col width="14" customWidth="1" style="33" min="14" max="14"/>
    <col width="16" customWidth="1" style="33" min="15" max="15"/>
    <col width="12" customWidth="1" style="33" min="16" max="16"/>
    <col width="52" customWidth="1" style="33" min="17" max="17"/>
    <col width="26" customWidth="1" style="33" min="18" max="18"/>
    <col width="17" customWidth="1" style="33" min="19" max="19"/>
  </cols>
  <sheetData>
    <row r="1" ht="33" customHeight="1" s="33">
      <c r="A1" s="81" t="inlineStr">
        <is>
          <t>ID</t>
        </is>
      </c>
      <c r="B1" s="81" t="inlineStr">
        <is>
          <t>Historia</t>
        </is>
      </c>
      <c r="C1" s="81" t="inlineStr">
        <is>
          <t>Requisito</t>
        </is>
      </c>
      <c r="D1" s="81" t="inlineStr">
        <is>
          <t>Tipo</t>
        </is>
      </c>
      <c r="E1" s="81" t="inlineStr">
        <is>
          <t>Prioridad</t>
        </is>
      </c>
      <c r="F1" s="81" t="inlineStr">
        <is>
          <t>Rol / usuario</t>
        </is>
      </c>
      <c r="G1" s="81" t="inlineStr">
        <is>
          <t>Precondición</t>
        </is>
      </c>
      <c r="H1" s="81" t="inlineStr">
        <is>
          <t>Pasos</t>
        </is>
      </c>
      <c r="I1" s="81" t="inlineStr">
        <is>
          <t>Datos de prueba</t>
        </is>
      </c>
      <c r="J1" s="81" t="inlineStr">
        <is>
          <t>Resultado esperado</t>
        </is>
      </c>
      <c r="K1" s="81" t="inlineStr">
        <is>
          <t>Resultado obtenido</t>
        </is>
      </c>
      <c r="L1" s="81" t="inlineStr">
        <is>
          <t>Estado</t>
        </is>
      </c>
      <c r="M1" s="81" t="inlineStr">
        <is>
          <t>Defecto</t>
        </is>
      </c>
      <c r="N1" s="81" t="inlineStr">
        <is>
          <t>Evidencia</t>
        </is>
      </c>
      <c r="O1" s="81" t="inlineStr">
        <is>
          <t>Ejecutado por</t>
        </is>
      </c>
      <c r="P1" s="81" t="inlineStr">
        <is>
          <t>Fecha</t>
        </is>
      </c>
      <c r="Q1" s="81" t="inlineStr">
        <is>
          <t>Test automatizado</t>
        </is>
      </c>
      <c r="R1" s="81" t="inlineStr">
        <is>
          <t>Entorno</t>
        </is>
      </c>
      <c r="S1" s="81" t="inlineStr">
        <is>
          <t>Commit probado</t>
        </is>
      </c>
    </row>
    <row r="2" ht="47.5" customFormat="1" customHeight="1" s="49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82" t="n"/>
      <c r="L2" s="83" t="n"/>
      <c r="M2" s="82" t="n"/>
      <c r="N2" s="82" t="n"/>
      <c r="O2" s="82" t="n"/>
      <c r="P2" s="82" t="n"/>
      <c r="Q2" s="71" t="n"/>
      <c r="R2" s="71" t="n"/>
      <c r="S2" s="71" t="n"/>
    </row>
    <row r="3" ht="62" customFormat="1" customHeight="1" s="49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82" t="n"/>
      <c r="L3" s="83" t="n"/>
      <c r="M3" s="82" t="n"/>
      <c r="N3" s="82" t="n"/>
      <c r="O3" s="82" t="n"/>
      <c r="P3" s="82" t="n"/>
      <c r="Q3" s="71" t="n"/>
      <c r="R3" s="71" t="n"/>
      <c r="S3" s="71" t="n"/>
    </row>
    <row r="4" ht="33" customFormat="1" customHeight="1" s="49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82" t="n"/>
      <c r="L4" s="83" t="n"/>
      <c r="M4" s="82" t="n"/>
      <c r="N4" s="82" t="n"/>
      <c r="O4" s="82" t="n"/>
      <c r="P4" s="82" t="n"/>
      <c r="Q4" s="71" t="n"/>
      <c r="R4" s="71" t="n"/>
      <c r="S4" s="71" t="n"/>
    </row>
    <row r="5" ht="47.5" customFormat="1" customHeight="1" s="49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82" t="n"/>
      <c r="L5" s="83" t="n"/>
      <c r="M5" s="82" t="n"/>
      <c r="N5" s="82" t="n"/>
      <c r="O5" s="82" t="n"/>
      <c r="P5" s="82" t="n"/>
      <c r="Q5" s="71" t="n"/>
      <c r="R5" s="71" t="n"/>
      <c r="S5" s="71" t="n"/>
    </row>
    <row r="6" ht="62" customFormat="1" customHeight="1" s="49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82" t="n"/>
      <c r="L6" s="83" t="n"/>
      <c r="M6" s="82" t="n"/>
      <c r="N6" s="82" t="n"/>
      <c r="O6" s="82" t="n"/>
      <c r="P6" s="82" t="n"/>
      <c r="Q6" s="71" t="n"/>
      <c r="R6" s="71" t="n"/>
      <c r="S6" s="71" t="n"/>
    </row>
    <row r="7" ht="47.5" customFormat="1" customHeight="1" s="49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82" t="n"/>
      <c r="L7" s="83" t="n"/>
      <c r="M7" s="82" t="n"/>
      <c r="N7" s="82" t="n"/>
      <c r="O7" s="82" t="n"/>
      <c r="P7" s="82" t="n"/>
      <c r="Q7" s="71" t="n"/>
      <c r="R7" s="71" t="n"/>
      <c r="S7" s="71" t="n"/>
    </row>
    <row r="8" ht="62" customFormat="1" customHeight="1" s="49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82" t="n"/>
      <c r="L8" s="83" t="n"/>
      <c r="M8" s="82" t="n"/>
      <c r="N8" s="82" t="n"/>
      <c r="O8" s="82" t="n"/>
      <c r="P8" s="82" t="n"/>
      <c r="Q8" s="71" t="n"/>
      <c r="R8" s="71" t="n"/>
      <c r="S8" s="71" t="n"/>
    </row>
    <row r="9" ht="76.5" customHeight="1" s="33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82" t="n"/>
      <c r="L9" s="83" t="n"/>
      <c r="M9" s="82" t="n"/>
      <c r="N9" s="82" t="n"/>
      <c r="O9" s="82" t="n"/>
      <c r="P9" s="82" t="n"/>
      <c r="Q9" s="71" t="n"/>
      <c r="R9" s="71" t="n"/>
      <c r="S9" s="71" t="n"/>
    </row>
    <row r="10" ht="47.5" customHeight="1" s="33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82" t="n"/>
      <c r="L10" s="83" t="n"/>
      <c r="M10" s="82" t="n"/>
      <c r="N10" s="82" t="n"/>
      <c r="O10" s="82" t="n"/>
      <c r="P10" s="82" t="n"/>
      <c r="Q10" s="71" t="n"/>
      <c r="R10" s="71" t="n"/>
      <c r="S10" s="71" t="n"/>
    </row>
    <row r="11" ht="47.5" customHeight="1" s="33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82" t="n"/>
      <c r="L11" s="83" t="n"/>
      <c r="M11" s="82" t="n"/>
      <c r="N11" s="82" t="n"/>
      <c r="O11" s="82" t="n"/>
      <c r="P11" s="82" t="n"/>
      <c r="Q11" s="71" t="n"/>
      <c r="R11" s="71" t="n"/>
      <c r="S11" s="71" t="n"/>
    </row>
    <row r="12" ht="47.5" customHeight="1" s="33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82" t="n"/>
      <c r="L12" s="83" t="n"/>
      <c r="M12" s="82" t="n"/>
      <c r="N12" s="82" t="n"/>
      <c r="O12" s="82" t="n"/>
      <c r="P12" s="82" t="n"/>
      <c r="Q12" s="71" t="n"/>
      <c r="R12" s="71" t="n"/>
      <c r="S12" s="71" t="n"/>
    </row>
    <row r="13" ht="33" customHeight="1" s="3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82" t="n"/>
      <c r="L13" s="83" t="n"/>
      <c r="M13" s="82" t="n"/>
      <c r="N13" s="82" t="n"/>
      <c r="O13" s="82" t="n"/>
      <c r="P13" s="82" t="n"/>
      <c r="Q13" s="71" t="n"/>
      <c r="R13" s="71" t="n"/>
      <c r="S13" s="71" t="n"/>
    </row>
    <row r="14" ht="33" customHeight="1" s="33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82" t="n"/>
      <c r="L14" s="83" t="n"/>
      <c r="M14" s="82" t="n"/>
      <c r="N14" s="82" t="n"/>
      <c r="O14" s="82" t="n"/>
      <c r="P14" s="82" t="n"/>
      <c r="Q14" s="71" t="n"/>
      <c r="R14" s="71" t="n"/>
      <c r="S14" s="71" t="n"/>
    </row>
    <row r="15" ht="91" customHeight="1" s="33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82" t="n"/>
      <c r="L15" s="83" t="n"/>
      <c r="M15" s="82" t="n"/>
      <c r="N15" s="82" t="n"/>
      <c r="O15" s="82" t="n"/>
      <c r="P15" s="82" t="n"/>
      <c r="Q15" s="71" t="n"/>
      <c r="R15" s="71" t="n"/>
      <c r="S15" s="71" t="n"/>
    </row>
    <row r="16" ht="33" customHeight="1" s="33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82" t="n"/>
      <c r="L16" s="83" t="n"/>
      <c r="M16" s="82" t="n"/>
      <c r="N16" s="82" t="n"/>
      <c r="O16" s="82" t="n"/>
      <c r="P16" s="82" t="n"/>
      <c r="Q16" s="71" t="n"/>
      <c r="R16" s="71" t="n"/>
      <c r="S16" s="71" t="n"/>
    </row>
    <row r="17" ht="62" customHeight="1" s="33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82" t="n"/>
      <c r="L17" s="83" t="n"/>
      <c r="M17" s="82" t="n"/>
      <c r="N17" s="82" t="n"/>
      <c r="O17" s="82" t="n"/>
      <c r="P17" s="82" t="n"/>
      <c r="Q17" s="71" t="n"/>
      <c r="R17" s="71" t="n"/>
      <c r="S17" s="71" t="n"/>
    </row>
    <row r="18" ht="62" customHeight="1" s="33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82" t="n"/>
      <c r="L18" s="83" t="n"/>
      <c r="M18" s="82" t="n"/>
      <c r="N18" s="82" t="n"/>
      <c r="O18" s="82" t="n"/>
      <c r="P18" s="82" t="n"/>
      <c r="Q18" s="71" t="n"/>
      <c r="R18" s="71" t="n"/>
      <c r="S18" s="71" t="n"/>
    </row>
    <row r="19" ht="62" customHeight="1" s="33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82" t="n"/>
      <c r="L19" s="83" t="n"/>
      <c r="M19" s="82" t="n"/>
      <c r="N19" s="82" t="n"/>
      <c r="O19" s="82" t="n"/>
      <c r="P19" s="82" t="n"/>
      <c r="Q19" s="71" t="n"/>
      <c r="R19" s="71" t="n"/>
      <c r="S19" s="71" t="n"/>
    </row>
    <row r="20" ht="62" customHeight="1" s="33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82" t="n"/>
      <c r="L20" s="83" t="n"/>
      <c r="M20" s="82" t="n"/>
      <c r="N20" s="82" t="n"/>
      <c r="O20" s="82" t="n"/>
      <c r="P20" s="82" t="n"/>
      <c r="Q20" s="71" t="n"/>
      <c r="R20" s="71" t="n"/>
      <c r="S20" s="71" t="n"/>
    </row>
    <row r="21" ht="47.5" customHeight="1" s="33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82" t="n"/>
      <c r="L21" s="83" t="n"/>
      <c r="M21" s="82" t="n"/>
      <c r="N21" s="82" t="n"/>
      <c r="O21" s="82" t="n"/>
      <c r="P21" s="82" t="n"/>
      <c r="Q21" s="71" t="n"/>
      <c r="R21" s="71" t="n"/>
      <c r="S21" s="71" t="n"/>
    </row>
    <row r="22" ht="33" customHeight="1" s="33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82" t="n"/>
      <c r="L22" s="83" t="n"/>
      <c r="M22" s="82" t="n"/>
      <c r="N22" s="82" t="n"/>
      <c r="O22" s="82" t="n"/>
      <c r="P22" s="82" t="n"/>
      <c r="Q22" s="71" t="n"/>
      <c r="R22" s="71" t="n"/>
      <c r="S22" s="71" t="n"/>
    </row>
    <row r="23" ht="33" customHeight="1" s="3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82" t="n"/>
      <c r="L23" s="83" t="n"/>
      <c r="M23" s="82" t="n"/>
      <c r="N23" s="82" t="n"/>
      <c r="O23" s="82" t="n"/>
      <c r="P23" s="82" t="n"/>
      <c r="Q23" s="71" t="n"/>
      <c r="R23" s="71" t="n"/>
      <c r="S23" s="71" t="n"/>
    </row>
    <row r="24" ht="47.5" customHeight="1" s="33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82" t="n"/>
      <c r="L24" s="83" t="n"/>
      <c r="M24" s="82" t="n"/>
      <c r="N24" s="82" t="n"/>
      <c r="O24" s="82" t="n"/>
      <c r="P24" s="82" t="n"/>
      <c r="Q24" s="71" t="n"/>
      <c r="R24" s="71" t="n"/>
      <c r="S24" s="71" t="n"/>
    </row>
    <row r="25" ht="33" customHeight="1" s="33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82" t="n"/>
      <c r="L25" s="83" t="n"/>
      <c r="M25" s="82" t="n"/>
      <c r="N25" s="82" t="n"/>
      <c r="O25" s="82" t="n"/>
      <c r="P25" s="82" t="n"/>
      <c r="Q25" s="71" t="n"/>
      <c r="R25" s="71" t="n"/>
      <c r="S25" s="71" t="n"/>
    </row>
    <row r="26" ht="33" customHeight="1" s="33">
      <c r="A26" s="71" t="n"/>
      <c r="B26" s="71" t="n"/>
      <c r="C26" s="71" t="n"/>
      <c r="D26" s="71" t="n"/>
      <c r="E26" s="71" t="n"/>
      <c r="F26" s="71" t="n"/>
      <c r="G26" s="71" t="n"/>
      <c r="H26" s="71" t="n"/>
      <c r="I26" s="71" t="n"/>
      <c r="J26" s="71" t="n"/>
      <c r="K26" s="82" t="n"/>
      <c r="L26" s="83" t="n"/>
      <c r="M26" s="82" t="n"/>
      <c r="N26" s="82" t="n"/>
      <c r="O26" s="82" t="n"/>
      <c r="P26" s="82" t="n"/>
      <c r="Q26" s="71" t="n"/>
      <c r="R26" s="71" t="n"/>
      <c r="S26" s="71" t="n"/>
    </row>
    <row r="27" ht="47.5" customHeight="1" s="33">
      <c r="A27" s="71" t="n"/>
      <c r="B27" s="71" t="n"/>
      <c r="C27" s="71" t="n"/>
      <c r="D27" s="71" t="n"/>
      <c r="E27" s="71" t="n"/>
      <c r="F27" s="71" t="n"/>
      <c r="G27" s="71" t="n"/>
      <c r="H27" s="71" t="n"/>
      <c r="I27" s="71" t="n"/>
      <c r="J27" s="71" t="n"/>
      <c r="K27" s="82" t="n"/>
      <c r="L27" s="83" t="n"/>
      <c r="M27" s="82" t="n"/>
      <c r="N27" s="82" t="n"/>
      <c r="O27" s="82" t="n"/>
      <c r="P27" s="82" t="n"/>
      <c r="Q27" s="71" t="n"/>
      <c r="R27" s="71" t="n"/>
      <c r="S27" s="71" t="n"/>
    </row>
    <row r="28" ht="33" customHeight="1" s="33">
      <c r="A28" s="71" t="n"/>
      <c r="B28" s="71" t="n"/>
      <c r="C28" s="71" t="n"/>
      <c r="D28" s="71" t="n"/>
      <c r="E28" s="71" t="n"/>
      <c r="F28" s="71" t="n"/>
      <c r="G28" s="71" t="n"/>
      <c r="H28" s="71" t="n"/>
      <c r="I28" s="71" t="n"/>
      <c r="J28" s="71" t="n"/>
      <c r="K28" s="82" t="n"/>
      <c r="L28" s="83" t="n"/>
      <c r="M28" s="82" t="n"/>
      <c r="N28" s="82" t="n"/>
      <c r="O28" s="82" t="n"/>
      <c r="P28" s="82" t="n"/>
      <c r="Q28" s="71" t="n"/>
      <c r="R28" s="71" t="n"/>
      <c r="S28" s="71" t="n"/>
    </row>
    <row r="29" ht="47.5" customHeight="1" s="33">
      <c r="A29" s="71" t="n"/>
      <c r="B29" s="71" t="n"/>
      <c r="C29" s="71" t="n"/>
      <c r="D29" s="71" t="n"/>
      <c r="E29" s="71" t="n"/>
      <c r="F29" s="71" t="n"/>
      <c r="G29" s="71" t="n"/>
      <c r="H29" s="71" t="n"/>
      <c r="I29" s="71" t="n"/>
      <c r="J29" s="71" t="n"/>
      <c r="K29" s="82" t="n"/>
      <c r="L29" s="83" t="n"/>
      <c r="M29" s="82" t="n"/>
      <c r="N29" s="82" t="n"/>
      <c r="O29" s="82" t="n"/>
      <c r="P29" s="82" t="n"/>
      <c r="Q29" s="71" t="n"/>
      <c r="R29" s="71" t="n"/>
      <c r="S29" s="71" t="n"/>
    </row>
    <row r="30" ht="47.5" customHeight="1" s="33">
      <c r="A30" s="71" t="n"/>
      <c r="B30" s="71" t="n"/>
      <c r="C30" s="71" t="n"/>
      <c r="D30" s="71" t="n"/>
      <c r="E30" s="71" t="n"/>
      <c r="F30" s="71" t="n"/>
      <c r="G30" s="71" t="n"/>
      <c r="H30" s="71" t="n"/>
      <c r="I30" s="71" t="n"/>
      <c r="J30" s="71" t="n"/>
      <c r="K30" s="82" t="n"/>
      <c r="L30" s="83" t="n"/>
      <c r="M30" s="82" t="n"/>
      <c r="N30" s="82" t="n"/>
      <c r="O30" s="82" t="n"/>
      <c r="P30" s="82" t="n"/>
      <c r="Q30" s="71" t="n"/>
      <c r="R30" s="71" t="n"/>
      <c r="S30" s="71" t="n"/>
    </row>
    <row r="31" ht="33" customHeight="1" s="33">
      <c r="A31" s="71" t="n"/>
      <c r="B31" s="71" t="n"/>
      <c r="C31" s="71" t="n"/>
      <c r="D31" s="71" t="n"/>
      <c r="E31" s="71" t="n"/>
      <c r="F31" s="71" t="n"/>
      <c r="G31" s="71" t="n"/>
      <c r="H31" s="71" t="n"/>
      <c r="I31" s="71" t="n"/>
      <c r="J31" s="71" t="n"/>
      <c r="K31" s="82" t="n"/>
      <c r="L31" s="83" t="n"/>
      <c r="M31" s="82" t="n"/>
      <c r="N31" s="82" t="n"/>
      <c r="O31" s="82" t="n"/>
      <c r="P31" s="82" t="n"/>
      <c r="Q31" s="71" t="n"/>
      <c r="R31" s="71" t="n"/>
      <c r="S31" s="71" t="n"/>
    </row>
    <row r="32" ht="62" customHeight="1" s="33">
      <c r="A32" s="71" t="n"/>
      <c r="B32" s="71" t="n"/>
      <c r="C32" s="71" t="n"/>
      <c r="D32" s="71" t="n"/>
      <c r="E32" s="71" t="n"/>
      <c r="F32" s="71" t="n"/>
      <c r="G32" s="71" t="n"/>
      <c r="H32" s="71" t="n"/>
      <c r="I32" s="71" t="n"/>
      <c r="J32" s="71" t="n"/>
      <c r="K32" s="82" t="n"/>
      <c r="L32" s="83" t="n"/>
      <c r="M32" s="82" t="n"/>
      <c r="N32" s="82" t="n"/>
      <c r="O32" s="82" t="n"/>
      <c r="P32" s="82" t="n"/>
      <c r="Q32" s="71" t="n"/>
      <c r="R32" s="71" t="n"/>
      <c r="S32" s="71" t="n"/>
    </row>
    <row r="33" ht="76.5" customHeight="1" s="33">
      <c r="A33" s="71" t="n"/>
      <c r="B33" s="71" t="n"/>
      <c r="C33" s="71" t="n"/>
      <c r="D33" s="71" t="n"/>
      <c r="E33" s="71" t="n"/>
      <c r="F33" s="71" t="n"/>
      <c r="G33" s="71" t="n"/>
      <c r="H33" s="71" t="n"/>
      <c r="I33" s="71" t="n"/>
      <c r="J33" s="71" t="n"/>
      <c r="K33" s="82" t="n"/>
      <c r="L33" s="83" t="n"/>
      <c r="M33" s="82" t="n"/>
      <c r="N33" s="82" t="n"/>
      <c r="O33" s="82" t="n"/>
      <c r="P33" s="82" t="n"/>
      <c r="Q33" s="71" t="n"/>
      <c r="R33" s="71" t="n"/>
      <c r="S33" s="71" t="n"/>
    </row>
    <row r="34" ht="47.5" customHeight="1" s="33">
      <c r="A34" s="71" t="n"/>
      <c r="B34" s="71" t="n"/>
      <c r="C34" s="71" t="n"/>
      <c r="D34" s="71" t="n"/>
      <c r="E34" s="71" t="n"/>
      <c r="F34" s="71" t="n"/>
      <c r="G34" s="71" t="n"/>
      <c r="H34" s="71" t="n"/>
      <c r="I34" s="71" t="n"/>
      <c r="J34" s="71" t="n"/>
      <c r="K34" s="71" t="n"/>
      <c r="L34" s="71" t="n"/>
      <c r="M34" s="71" t="n"/>
      <c r="N34" s="71" t="n"/>
      <c r="O34" s="71" t="n"/>
      <c r="P34" s="71" t="n"/>
      <c r="Q34" s="71" t="n"/>
      <c r="R34" s="71" t="n"/>
      <c r="S34" s="71" t="n"/>
    </row>
    <row r="35" ht="47.5" customHeight="1" s="33">
      <c r="A35" s="71" t="n"/>
      <c r="B35" s="71" t="n"/>
      <c r="C35" s="71" t="n"/>
      <c r="D35" s="71" t="n"/>
      <c r="E35" s="71" t="n"/>
      <c r="F35" s="71" t="n"/>
      <c r="G35" s="71" t="n"/>
      <c r="H35" s="71" t="n"/>
      <c r="I35" s="71" t="n"/>
      <c r="J35" s="71" t="n"/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</row>
    <row r="36" ht="47.5" customHeight="1" s="33">
      <c r="A36" s="71" t="n"/>
      <c r="B36" s="71" t="n"/>
      <c r="C36" s="71" t="n"/>
      <c r="D36" s="71" t="n"/>
      <c r="E36" s="71" t="n"/>
      <c r="F36" s="71" t="n"/>
      <c r="G36" s="71" t="n"/>
      <c r="H36" s="71" t="n"/>
      <c r="I36" s="71" t="n"/>
      <c r="J36" s="71" t="n"/>
      <c r="K36" s="71" t="n"/>
      <c r="L36" s="71" t="n"/>
      <c r="M36" s="71" t="n"/>
      <c r="N36" s="71" t="n"/>
      <c r="O36" s="71" t="n"/>
      <c r="P36" s="71" t="n"/>
      <c r="Q36" s="71" t="n"/>
      <c r="R36" s="71" t="n"/>
      <c r="S36" s="71" t="n"/>
    </row>
    <row r="37" ht="47.5" customHeight="1" s="33">
      <c r="A37" s="71" t="n"/>
      <c r="B37" s="71" t="n"/>
      <c r="C37" s="71" t="n"/>
      <c r="D37" s="71" t="n"/>
      <c r="E37" s="71" t="n"/>
      <c r="F37" s="71" t="n"/>
      <c r="G37" s="71" t="n"/>
      <c r="H37" s="71" t="n"/>
      <c r="I37" s="71" t="n"/>
      <c r="J37" s="71" t="n"/>
      <c r="K37" s="71" t="n"/>
      <c r="L37" s="71" t="n"/>
      <c r="M37" s="71" t="n"/>
      <c r="N37" s="71" t="n"/>
      <c r="O37" s="71" t="n"/>
      <c r="P37" s="71" t="n"/>
      <c r="Q37" s="71" t="n"/>
      <c r="R37" s="71" t="n"/>
      <c r="S37" s="71" t="n"/>
    </row>
    <row r="38" ht="47.5" customHeight="1" s="33">
      <c r="A38" s="71" t="n"/>
      <c r="B38" s="71" t="n"/>
      <c r="C38" s="71" t="n"/>
      <c r="D38" s="71" t="n"/>
      <c r="E38" s="71" t="n"/>
      <c r="F38" s="71" t="n"/>
      <c r="G38" s="71" t="n"/>
      <c r="H38" s="71" t="n"/>
      <c r="I38" s="71" t="n"/>
      <c r="J38" s="71" t="n"/>
      <c r="K38" s="71" t="n"/>
      <c r="L38" s="71" t="n"/>
      <c r="M38" s="71" t="n"/>
      <c r="N38" s="71" t="n"/>
      <c r="O38" s="71" t="n"/>
      <c r="P38" s="71" t="n"/>
      <c r="Q38" s="71" t="n"/>
      <c r="R38" s="71" t="n"/>
      <c r="S38" s="71" t="n"/>
    </row>
    <row r="39" ht="62" customHeight="1" s="33">
      <c r="A39" s="71" t="n"/>
      <c r="B39" s="71" t="n"/>
      <c r="C39" s="71" t="n"/>
      <c r="D39" s="71" t="n"/>
      <c r="E39" s="71" t="n"/>
      <c r="F39" s="71" t="n"/>
      <c r="G39" s="71" t="n"/>
      <c r="H39" s="71" t="n"/>
      <c r="I39" s="71" t="n"/>
      <c r="J39" s="71" t="n"/>
      <c r="K39" s="71" t="n"/>
      <c r="L39" s="71" t="n"/>
      <c r="M39" s="71" t="n"/>
      <c r="N39" s="71" t="n"/>
      <c r="O39" s="71" t="n"/>
      <c r="P39" s="71" t="n"/>
      <c r="Q39" s="71" t="n"/>
      <c r="R39" s="71" t="n"/>
      <c r="S39" s="71" t="n"/>
    </row>
    <row r="40" ht="33" customHeight="1" s="33">
      <c r="A40" s="71" t="n"/>
      <c r="B40" s="71" t="n"/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71" t="n"/>
      <c r="R40" s="71" t="n"/>
      <c r="S40" s="71" t="n"/>
    </row>
    <row r="41" ht="33" customHeight="1" s="33">
      <c r="A41" s="71" t="n"/>
      <c r="B41" s="71" t="n"/>
      <c r="C41" s="71" t="n"/>
      <c r="D41" s="71" t="n"/>
      <c r="E41" s="7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71" t="n"/>
      <c r="R41" s="71" t="n"/>
      <c r="S41" s="71" t="n"/>
    </row>
    <row r="42" ht="47.5" customHeight="1" s="33">
      <c r="A42" s="71" t="n"/>
      <c r="B42" s="71" t="n"/>
      <c r="C42" s="71" t="n"/>
      <c r="D42" s="71" t="n"/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71" t="n"/>
      <c r="R42" s="71" t="n"/>
      <c r="S42" s="71" t="n"/>
    </row>
    <row r="43" ht="47.5" customHeight="1" s="33">
      <c r="A43" s="71" t="n"/>
      <c r="B43" s="71" t="n"/>
      <c r="C43" s="71" t="n"/>
      <c r="D43" s="71" t="n"/>
      <c r="E43" s="71" t="n"/>
      <c r="F43" s="71" t="n"/>
      <c r="G43" s="71" t="n"/>
      <c r="H43" s="71" t="n"/>
      <c r="I43" s="71" t="n"/>
      <c r="J43" s="71" t="n"/>
      <c r="K43" s="71" t="n"/>
      <c r="L43" s="71" t="n"/>
      <c r="M43" s="71" t="n"/>
      <c r="N43" s="71" t="n"/>
      <c r="O43" s="71" t="n"/>
      <c r="P43" s="71" t="n"/>
      <c r="Q43" s="71" t="n"/>
      <c r="R43" s="71" t="n"/>
      <c r="S43" s="71" t="n"/>
    </row>
    <row r="44" ht="62" customHeight="1" s="33">
      <c r="A44" s="71" t="n"/>
      <c r="B44" s="71" t="n"/>
      <c r="C44" s="71" t="n"/>
      <c r="D44" s="71" t="n"/>
      <c r="E44" s="71" t="n"/>
      <c r="F44" s="71" t="n"/>
      <c r="G44" s="71" t="n"/>
      <c r="H44" s="71" t="n"/>
      <c r="I44" s="71" t="n"/>
      <c r="J44" s="71" t="n"/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</row>
    <row r="45" ht="47.5" customHeight="1" s="33">
      <c r="A45" s="71" t="n"/>
      <c r="B45" s="71" t="n"/>
      <c r="C45" s="71" t="n"/>
      <c r="D45" s="71" t="n"/>
      <c r="E45" s="71" t="n"/>
      <c r="F45" s="71" t="n"/>
      <c r="G45" s="71" t="n"/>
      <c r="H45" s="71" t="n"/>
      <c r="I45" s="71" t="n"/>
      <c r="J45" s="71" t="n"/>
      <c r="K45" s="71" t="n"/>
      <c r="L45" s="71" t="n"/>
      <c r="M45" s="71" t="n"/>
      <c r="N45" s="71" t="n"/>
      <c r="O45" s="71" t="n"/>
      <c r="P45" s="71" t="n"/>
      <c r="Q45" s="71" t="n"/>
      <c r="R45" s="71" t="n"/>
      <c r="S45" s="71" t="n"/>
    </row>
    <row r="46" ht="62" customHeight="1" s="33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1" t="n"/>
      <c r="J46" s="71" t="n"/>
      <c r="K46" s="71" t="n"/>
      <c r="L46" s="71" t="n"/>
      <c r="M46" s="71" t="n"/>
      <c r="N46" s="71" t="n"/>
      <c r="O46" s="71" t="n"/>
      <c r="P46" s="71" t="n"/>
      <c r="Q46" s="71" t="n"/>
      <c r="R46" s="71" t="n"/>
      <c r="S46" s="71" t="n"/>
    </row>
    <row r="47" ht="33" customHeight="1" s="33">
      <c r="A47" s="71" t="n"/>
      <c r="B47" s="71" t="n"/>
      <c r="C47" s="71" t="n"/>
      <c r="D47" s="71" t="n"/>
      <c r="E47" s="71" t="n"/>
      <c r="F47" s="71" t="n"/>
      <c r="G47" s="71" t="n"/>
      <c r="H47" s="71" t="n"/>
      <c r="I47" s="71" t="n"/>
      <c r="J47" s="71" t="n"/>
      <c r="K47" s="71" t="n"/>
      <c r="L47" s="71" t="n"/>
      <c r="M47" s="71" t="n"/>
      <c r="N47" s="71" t="n"/>
      <c r="O47" s="71" t="n"/>
      <c r="P47" s="71" t="n"/>
      <c r="Q47" s="71" t="n"/>
      <c r="R47" s="71" t="n"/>
      <c r="S47" s="71" t="n"/>
    </row>
    <row r="48" ht="33" customHeight="1" s="33">
      <c r="A48" s="71" t="n"/>
      <c r="B48" s="71" t="n"/>
      <c r="C48" s="71" t="n"/>
      <c r="D48" s="71" t="n"/>
      <c r="E48" s="71" t="n"/>
      <c r="F48" s="71" t="n"/>
      <c r="G48" s="71" t="n"/>
      <c r="H48" s="71" t="n"/>
      <c r="I48" s="71" t="n"/>
      <c r="J48" s="71" t="n"/>
      <c r="K48" s="71" t="n"/>
      <c r="L48" s="71" t="n"/>
      <c r="M48" s="71" t="n"/>
      <c r="N48" s="71" t="n"/>
      <c r="O48" s="71" t="n"/>
      <c r="P48" s="71" t="n"/>
      <c r="Q48" s="71" t="n"/>
      <c r="R48" s="71" t="n"/>
      <c r="S48" s="71" t="n"/>
    </row>
    <row r="49" ht="33" customHeight="1" s="33">
      <c r="A49" s="71" t="n"/>
      <c r="B49" s="71" t="n"/>
      <c r="C49" s="71" t="n"/>
      <c r="D49" s="71" t="n"/>
      <c r="E49" s="71" t="n"/>
      <c r="F49" s="71" t="n"/>
      <c r="G49" s="71" t="n"/>
      <c r="H49" s="71" t="n"/>
      <c r="I49" s="71" t="n"/>
      <c r="J49" s="71" t="n"/>
      <c r="K49" s="71" t="n"/>
      <c r="L49" s="71" t="n"/>
      <c r="M49" s="71" t="n"/>
      <c r="N49" s="71" t="n"/>
      <c r="O49" s="71" t="n"/>
      <c r="P49" s="71" t="n"/>
      <c r="Q49" s="71" t="n"/>
      <c r="R49" s="71" t="n"/>
      <c r="S49" s="71" t="n"/>
    </row>
    <row r="50" ht="62" customHeight="1" s="33">
      <c r="A50" s="71" t="n"/>
      <c r="B50" s="71" t="n"/>
      <c r="C50" s="71" t="n"/>
      <c r="D50" s="71" t="n"/>
      <c r="E50" s="71" t="n"/>
      <c r="F50" s="71" t="n"/>
      <c r="G50" s="71" t="n"/>
      <c r="H50" s="71" t="n"/>
      <c r="I50" s="71" t="n"/>
      <c r="J50" s="71" t="n"/>
      <c r="K50" s="71" t="n"/>
      <c r="L50" s="71" t="n"/>
      <c r="M50" s="71" t="n"/>
      <c r="N50" s="71" t="n"/>
      <c r="O50" s="71" t="n"/>
      <c r="P50" s="71" t="n"/>
      <c r="Q50" s="71" t="n"/>
      <c r="R50" s="71" t="n"/>
      <c r="S50" s="71" t="n"/>
    </row>
    <row r="51" ht="47.5" customHeight="1" s="33">
      <c r="A51" s="71" t="n"/>
      <c r="B51" s="71" t="n"/>
      <c r="C51" s="71" t="n"/>
      <c r="D51" s="71" t="n"/>
      <c r="E51" s="71" t="n"/>
      <c r="F51" s="71" t="n"/>
      <c r="G51" s="71" t="n"/>
      <c r="H51" s="71" t="n"/>
      <c r="I51" s="71" t="n"/>
      <c r="J51" s="71" t="n"/>
      <c r="K51" s="71" t="n"/>
      <c r="L51" s="71" t="n"/>
      <c r="M51" s="71" t="n"/>
      <c r="N51" s="71" t="n"/>
      <c r="O51" s="71" t="n"/>
      <c r="P51" s="71" t="n"/>
      <c r="Q51" s="71" t="n"/>
      <c r="R51" s="71" t="n"/>
      <c r="S51" s="71" t="n"/>
    </row>
    <row r="52" ht="47.5" customHeight="1" s="33">
      <c r="A52" s="71" t="n"/>
      <c r="B52" s="71" t="n"/>
      <c r="C52" s="71" t="n"/>
      <c r="D52" s="71" t="n"/>
      <c r="E52" s="71" t="n"/>
      <c r="F52" s="71" t="n"/>
      <c r="G52" s="71" t="n"/>
      <c r="H52" s="71" t="n"/>
      <c r="I52" s="71" t="n"/>
      <c r="J52" s="71" t="n"/>
      <c r="K52" s="71" t="n"/>
      <c r="L52" s="71" t="n"/>
      <c r="M52" s="71" t="n"/>
      <c r="N52" s="71" t="n"/>
      <c r="O52" s="71" t="n"/>
      <c r="P52" s="71" t="n"/>
      <c r="Q52" s="71" t="n"/>
      <c r="R52" s="71" t="n"/>
      <c r="S52" s="71" t="n"/>
    </row>
    <row r="53" ht="33" customHeight="1" s="33">
      <c r="A53" s="71" t="n"/>
      <c r="B53" s="71" t="n"/>
      <c r="C53" s="71" t="n"/>
      <c r="D53" s="71" t="n"/>
      <c r="E53" s="71" t="n"/>
      <c r="F53" s="71" t="n"/>
      <c r="G53" s="71" t="n"/>
      <c r="H53" s="71" t="n"/>
      <c r="I53" s="71" t="n"/>
      <c r="J53" s="71" t="n"/>
      <c r="K53" s="71" t="n"/>
      <c r="L53" s="71" t="n"/>
      <c r="M53" s="71" t="n"/>
      <c r="N53" s="71" t="n"/>
      <c r="O53" s="71" t="n"/>
      <c r="P53" s="71" t="n"/>
      <c r="Q53" s="71" t="n"/>
      <c r="R53" s="71" t="n"/>
      <c r="S53" s="71" t="n"/>
    </row>
    <row r="54" ht="62" customHeight="1" s="33">
      <c r="A54" s="71" t="n"/>
      <c r="B54" s="71" t="n"/>
      <c r="C54" s="71" t="n"/>
      <c r="D54" s="71" t="n"/>
      <c r="E54" s="71" t="n"/>
      <c r="F54" s="71" t="n"/>
      <c r="G54" s="71" t="n"/>
      <c r="H54" s="71" t="n"/>
      <c r="I54" s="71" t="n"/>
      <c r="J54" s="71" t="n"/>
      <c r="K54" s="71" t="n"/>
      <c r="L54" s="71" t="n"/>
      <c r="M54" s="71" t="n"/>
      <c r="N54" s="71" t="n"/>
      <c r="O54" s="71" t="n"/>
      <c r="P54" s="71" t="n"/>
      <c r="Q54" s="71" t="n"/>
      <c r="R54" s="71" t="n"/>
      <c r="S54" s="71" t="n"/>
    </row>
    <row r="55" ht="62" customHeight="1" s="33">
      <c r="A55" s="71" t="n"/>
      <c r="B55" s="71" t="n"/>
      <c r="C55" s="71" t="n"/>
      <c r="D55" s="71" t="n"/>
      <c r="E55" s="71" t="n"/>
      <c r="F55" s="71" t="n"/>
      <c r="G55" s="71" t="n"/>
      <c r="H55" s="71" t="n"/>
      <c r="I55" s="71" t="n"/>
      <c r="J55" s="71" t="n"/>
      <c r="K55" s="71" t="n"/>
      <c r="L55" s="71" t="n"/>
      <c r="M55" s="71" t="n"/>
      <c r="N55" s="71" t="n"/>
      <c r="O55" s="71" t="n"/>
      <c r="P55" s="71" t="n"/>
      <c r="Q55" s="71" t="n"/>
      <c r="R55" s="71" t="n"/>
      <c r="S55" s="71" t="n"/>
    </row>
    <row r="56" ht="33" customHeight="1" s="33">
      <c r="A56" s="71" t="n"/>
      <c r="B56" s="71" t="n"/>
      <c r="C56" s="71" t="n"/>
      <c r="D56" s="71" t="n"/>
      <c r="E56" s="71" t="n"/>
      <c r="F56" s="71" t="n"/>
      <c r="G56" s="71" t="n"/>
      <c r="H56" s="71" t="n"/>
      <c r="I56" s="71" t="n"/>
      <c r="J56" s="71" t="n"/>
      <c r="K56" s="71" t="n"/>
      <c r="L56" s="71" t="n"/>
      <c r="M56" s="71" t="n"/>
      <c r="N56" s="71" t="n"/>
      <c r="O56" s="71" t="n"/>
      <c r="P56" s="71" t="n"/>
      <c r="Q56" s="71" t="n"/>
      <c r="R56" s="71" t="n"/>
      <c r="S56" s="71" t="n"/>
    </row>
    <row r="57" ht="62" customHeight="1" s="33">
      <c r="A57" s="71" t="n"/>
      <c r="B57" s="71" t="n"/>
      <c r="C57" s="71" t="n"/>
      <c r="D57" s="71" t="n"/>
      <c r="E57" s="71" t="n"/>
      <c r="F57" s="71" t="n"/>
      <c r="G57" s="71" t="n"/>
      <c r="H57" s="71" t="n"/>
      <c r="I57" s="71" t="n"/>
      <c r="J57" s="71" t="n"/>
      <c r="K57" s="71" t="n"/>
      <c r="L57" s="71" t="n"/>
      <c r="M57" s="71" t="n"/>
      <c r="N57" s="71" t="n"/>
      <c r="O57" s="71" t="n"/>
      <c r="P57" s="71" t="n"/>
      <c r="Q57" s="71" t="n"/>
      <c r="R57" s="71" t="n"/>
      <c r="S57" s="71" t="n"/>
    </row>
    <row r="58" ht="62" customHeight="1" s="33">
      <c r="A58" s="71" t="n"/>
      <c r="B58" s="71" t="n"/>
      <c r="C58" s="71" t="n"/>
      <c r="D58" s="71" t="n"/>
      <c r="E58" s="71" t="n"/>
      <c r="F58" s="71" t="n"/>
      <c r="G58" s="71" t="n"/>
      <c r="H58" s="71" t="n"/>
      <c r="I58" s="71" t="n"/>
      <c r="J58" s="71" t="n"/>
      <c r="K58" s="71" t="n"/>
      <c r="L58" s="71" t="n"/>
      <c r="M58" s="71" t="n"/>
      <c r="N58" s="71" t="n"/>
      <c r="O58" s="71" t="n"/>
      <c r="P58" s="71" t="n"/>
      <c r="Q58" s="71" t="n"/>
      <c r="R58" s="71" t="n"/>
      <c r="S58" s="71" t="n"/>
    </row>
    <row r="59" ht="47.5" customHeight="1" s="33">
      <c r="A59" s="71" t="n"/>
      <c r="B59" s="71" t="n"/>
      <c r="C59" s="71" t="n"/>
      <c r="D59" s="71" t="n"/>
      <c r="E59" s="71" t="n"/>
      <c r="F59" s="71" t="n"/>
      <c r="G59" s="71" t="n"/>
      <c r="H59" s="71" t="n"/>
      <c r="I59" s="71" t="n"/>
      <c r="J59" s="71" t="n"/>
      <c r="K59" s="71" t="n"/>
      <c r="L59" s="71" t="n"/>
      <c r="M59" s="71" t="n"/>
      <c r="N59" s="71" t="n"/>
      <c r="O59" s="71" t="n"/>
      <c r="P59" s="71" t="n"/>
      <c r="Q59" s="71" t="n"/>
      <c r="R59" s="71" t="n"/>
      <c r="S59" s="71" t="n"/>
    </row>
    <row r="60" ht="76.5" customHeight="1" s="33">
      <c r="A60" s="71" t="n"/>
      <c r="B60" s="71" t="n"/>
      <c r="C60" s="71" t="n"/>
      <c r="D60" s="71" t="n"/>
      <c r="E60" s="71" t="n"/>
      <c r="F60" s="71" t="n"/>
      <c r="G60" s="71" t="n"/>
      <c r="H60" s="71" t="n"/>
      <c r="I60" s="71" t="n"/>
      <c r="J60" s="71" t="n"/>
      <c r="K60" s="71" t="n"/>
      <c r="L60" s="71" t="n"/>
      <c r="M60" s="71" t="n"/>
      <c r="N60" s="71" t="n"/>
      <c r="O60" s="71" t="n"/>
      <c r="P60" s="71" t="n"/>
      <c r="Q60" s="71" t="n"/>
      <c r="R60" s="71" t="n"/>
      <c r="S60" s="71" t="n"/>
    </row>
    <row r="61" ht="33" customHeight="1" s="33">
      <c r="A61" s="71" t="n"/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1" t="n"/>
      <c r="P61" s="71" t="n"/>
      <c r="Q61" s="71" t="n"/>
      <c r="R61" s="71" t="n"/>
      <c r="S61" s="71" t="n"/>
    </row>
    <row r="62" ht="33" customHeight="1" s="33">
      <c r="A62" s="71" t="n"/>
      <c r="B62" s="71" t="n"/>
      <c r="C62" s="71" t="n"/>
      <c r="D62" s="71" t="n"/>
      <c r="E62" s="71" t="n"/>
      <c r="F62" s="71" t="n"/>
      <c r="G62" s="71" t="n"/>
      <c r="H62" s="71" t="n"/>
      <c r="I62" s="71" t="n"/>
      <c r="J62" s="71" t="n"/>
      <c r="K62" s="71" t="n"/>
      <c r="L62" s="71" t="n"/>
      <c r="M62" s="71" t="n"/>
      <c r="N62" s="71" t="n"/>
      <c r="O62" s="71" t="n"/>
      <c r="P62" s="71" t="n"/>
      <c r="Q62" s="71" t="n"/>
      <c r="R62" s="71" t="n"/>
      <c r="S62" s="71" t="n"/>
    </row>
    <row r="63" ht="33" customHeight="1" s="33">
      <c r="A63" s="71" t="n"/>
      <c r="B63" s="71" t="n"/>
      <c r="C63" s="71" t="n"/>
      <c r="D63" s="71" t="n"/>
      <c r="E63" s="71" t="n"/>
      <c r="F63" s="71" t="n"/>
      <c r="G63" s="71" t="n"/>
      <c r="H63" s="71" t="n"/>
      <c r="I63" s="71" t="n"/>
      <c r="J63" s="71" t="n"/>
      <c r="K63" s="71" t="n"/>
      <c r="L63" s="71" t="n"/>
      <c r="M63" s="71" t="n"/>
      <c r="N63" s="71" t="n"/>
      <c r="O63" s="71" t="n"/>
      <c r="P63" s="71" t="n"/>
      <c r="Q63" s="71" t="n"/>
      <c r="R63" s="71" t="n"/>
      <c r="S63" s="71" t="n"/>
    </row>
    <row r="64" ht="62" customHeight="1" s="33">
      <c r="A64" s="71" t="n"/>
      <c r="B64" s="71" t="n"/>
      <c r="C64" s="71" t="n"/>
      <c r="D64" s="71" t="n"/>
      <c r="E64" s="71" t="n"/>
      <c r="F64" s="71" t="n"/>
      <c r="G64" s="71" t="n"/>
      <c r="H64" s="71" t="n"/>
      <c r="I64" s="71" t="n"/>
      <c r="J64" s="71" t="n"/>
      <c r="K64" s="71" t="n"/>
      <c r="L64" s="71" t="n"/>
      <c r="M64" s="71" t="n"/>
      <c r="N64" s="71" t="n"/>
      <c r="O64" s="71" t="n"/>
      <c r="P64" s="71" t="n"/>
      <c r="Q64" s="71" t="n"/>
      <c r="R64" s="71" t="n"/>
      <c r="S64" s="71" t="n"/>
    </row>
    <row r="65" ht="33" customHeight="1" s="33">
      <c r="A65" s="71" t="n"/>
      <c r="B65" s="71" t="n"/>
      <c r="C65" s="71" t="n"/>
      <c r="D65" s="71" t="n"/>
      <c r="E65" s="71" t="n"/>
      <c r="F65" s="71" t="n"/>
      <c r="G65" s="71" t="n"/>
      <c r="H65" s="71" t="n"/>
      <c r="I65" s="71" t="n"/>
      <c r="J65" s="71" t="n"/>
      <c r="K65" s="71" t="n"/>
      <c r="L65" s="71" t="n"/>
      <c r="M65" s="71" t="n"/>
      <c r="N65" s="71" t="n"/>
      <c r="O65" s="71" t="n"/>
      <c r="P65" s="71" t="n"/>
      <c r="Q65" s="71" t="n"/>
      <c r="R65" s="71" t="n"/>
      <c r="S65" s="71" t="n"/>
    </row>
    <row r="66" ht="62" customHeight="1" s="33">
      <c r="A66" s="71" t="n"/>
      <c r="B66" s="71" t="n"/>
      <c r="C66" s="71" t="n"/>
      <c r="D66" s="71" t="n"/>
      <c r="E66" s="71" t="n"/>
      <c r="F66" s="71" t="n"/>
      <c r="G66" s="71" t="n"/>
      <c r="H66" s="71" t="n"/>
      <c r="I66" s="71" t="n"/>
      <c r="J66" s="71" t="n"/>
      <c r="K66" s="71" t="n"/>
      <c r="L66" s="71" t="n"/>
      <c r="M66" s="71" t="n"/>
      <c r="N66" s="71" t="n"/>
      <c r="O66" s="71" t="n"/>
      <c r="P66" s="71" t="n"/>
      <c r="Q66" s="71" t="n"/>
      <c r="R66" s="71" t="n"/>
      <c r="S66" s="71" t="n"/>
    </row>
    <row r="67" ht="47.5" customHeight="1" s="33">
      <c r="A67" s="71" t="n"/>
      <c r="B67" s="71" t="n"/>
      <c r="C67" s="71" t="n"/>
      <c r="D67" s="71" t="n"/>
      <c r="E67" s="71" t="n"/>
      <c r="F67" s="71" t="n"/>
      <c r="G67" s="71" t="n"/>
      <c r="H67" s="71" t="n"/>
      <c r="I67" s="71" t="n"/>
      <c r="J67" s="71" t="n"/>
      <c r="K67" s="71" t="n"/>
      <c r="L67" s="71" t="n"/>
      <c r="M67" s="71" t="n"/>
      <c r="N67" s="71" t="n"/>
      <c r="O67" s="71" t="n"/>
      <c r="P67" s="71" t="n"/>
      <c r="Q67" s="71" t="n"/>
      <c r="R67" s="71" t="n"/>
      <c r="S67" s="71" t="n"/>
    </row>
    <row r="68" ht="33" customHeight="1" s="33">
      <c r="A68" s="71" t="n"/>
      <c r="B68" s="71" t="n"/>
      <c r="C68" s="71" t="n"/>
      <c r="D68" s="71" t="n"/>
      <c r="E68" s="71" t="n"/>
      <c r="F68" s="71" t="n"/>
      <c r="G68" s="71" t="n"/>
      <c r="H68" s="71" t="n"/>
      <c r="I68" s="71" t="n"/>
      <c r="J68" s="71" t="n"/>
      <c r="K68" s="71" t="n"/>
      <c r="L68" s="71" t="n"/>
      <c r="M68" s="71" t="n"/>
      <c r="N68" s="71" t="n"/>
      <c r="O68" s="71" t="n"/>
      <c r="P68" s="71" t="n"/>
      <c r="Q68" s="71" t="n"/>
      <c r="R68" s="71" t="n"/>
      <c r="S68" s="71" t="n"/>
    </row>
    <row r="69" ht="33" customHeight="1" s="33">
      <c r="A69" s="71" t="n"/>
      <c r="B69" s="71" t="n"/>
      <c r="C69" s="71" t="n"/>
      <c r="D69" s="71" t="n"/>
      <c r="E69" s="71" t="n"/>
      <c r="F69" s="71" t="n"/>
      <c r="G69" s="71" t="n"/>
      <c r="H69" s="71" t="n"/>
      <c r="I69" s="71" t="n"/>
      <c r="J69" s="71" t="n"/>
      <c r="K69" s="71" t="n"/>
      <c r="L69" s="71" t="n"/>
      <c r="M69" s="71" t="n"/>
      <c r="N69" s="71" t="n"/>
      <c r="O69" s="71" t="n"/>
      <c r="P69" s="71" t="n"/>
      <c r="Q69" s="71" t="n"/>
      <c r="R69" s="71" t="n"/>
      <c r="S69" s="71" t="n"/>
    </row>
    <row r="70" ht="62" customHeight="1" s="33">
      <c r="A70" s="71" t="n"/>
      <c r="B70" s="71" t="n"/>
      <c r="C70" s="71" t="n"/>
      <c r="D70" s="71" t="n"/>
      <c r="E70" s="71" t="n"/>
      <c r="F70" s="71" t="n"/>
      <c r="G70" s="71" t="n"/>
      <c r="H70" s="71" t="n"/>
      <c r="I70" s="71" t="n"/>
      <c r="J70" s="71" t="n"/>
      <c r="K70" s="71" t="n"/>
      <c r="L70" s="71" t="n"/>
      <c r="M70" s="71" t="n"/>
      <c r="N70" s="71" t="n"/>
      <c r="O70" s="71" t="n"/>
      <c r="P70" s="71" t="n"/>
      <c r="Q70" s="71" t="n"/>
      <c r="R70" s="71" t="n"/>
      <c r="S70" s="71" t="n"/>
    </row>
    <row r="71" ht="18.5" customHeight="1" s="33">
      <c r="A71" s="84" t="n"/>
      <c r="B71" s="84" t="n"/>
      <c r="C71" s="84" t="n"/>
      <c r="D71" s="84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84" t="n"/>
      <c r="N71" s="84" t="n"/>
      <c r="O71" s="84" t="n"/>
      <c r="P71" s="84" t="n"/>
      <c r="Q71" s="84" t="n"/>
      <c r="R71" s="84" t="n"/>
      <c r="S71" s="84" t="n"/>
    </row>
    <row r="72" ht="18.5" customHeight="1" s="33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n"/>
      <c r="S72" s="84" t="n"/>
    </row>
    <row r="73" ht="18.5" customHeight="1" s="3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84" t="n"/>
      <c r="N73" s="84" t="n"/>
      <c r="O73" s="84" t="n"/>
      <c r="P73" s="84" t="n"/>
      <c r="Q73" s="84" t="n"/>
      <c r="R73" s="84" t="n"/>
      <c r="S73" s="84" t="n"/>
    </row>
    <row r="74" ht="18.5" customHeight="1" s="33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n"/>
      <c r="S74" s="84" t="n"/>
    </row>
    <row r="75" s="33">
      <c r="A75" s="68" t="n"/>
      <c r="B75" s="68" t="n"/>
      <c r="C75" s="68" t="n"/>
      <c r="D75" s="68" t="n"/>
      <c r="E75" s="68" t="n"/>
      <c r="F75" s="68" t="n"/>
      <c r="G75" s="68" t="n"/>
      <c r="H75" s="68" t="n"/>
      <c r="I75" s="68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</row>
    <row r="76" s="33">
      <c r="A76" s="68" t="n"/>
      <c r="B76" s="68" t="n"/>
      <c r="C76" s="68" t="n"/>
      <c r="D76" s="68" t="n"/>
      <c r="E76" s="68" t="n"/>
      <c r="F76" s="68" t="n"/>
      <c r="G76" s="68" t="n"/>
      <c r="H76" s="68" t="n"/>
      <c r="I76" s="68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</row>
    <row r="77" s="33">
      <c r="A77" s="68" t="n"/>
      <c r="B77" s="68" t="n"/>
      <c r="C77" s="68" t="n"/>
      <c r="D77" s="68" t="n"/>
      <c r="E77" s="68" t="n"/>
      <c r="F77" s="68" t="n"/>
      <c r="G77" s="68" t="n"/>
      <c r="H77" s="68" t="n"/>
      <c r="I77" s="68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</row>
    <row r="78" s="33">
      <c r="A78" s="68" t="n"/>
      <c r="B78" s="68" t="n"/>
      <c r="C78" s="68" t="n"/>
      <c r="D78" s="68" t="n"/>
      <c r="E78" s="68" t="n"/>
      <c r="F78" s="68" t="n"/>
      <c r="G78" s="68" t="n"/>
      <c r="H78" s="68" t="n"/>
      <c r="I78" s="68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</row>
    <row r="79" ht="18.5" customHeight="1" s="33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84" t="n"/>
      <c r="N79" s="84" t="n"/>
      <c r="O79" s="84" t="n"/>
      <c r="P79" s="84" t="n"/>
      <c r="Q79" s="84" t="n"/>
      <c r="R79" s="84" t="n"/>
      <c r="S79" s="84" t="n"/>
    </row>
    <row r="80" ht="18.5" customHeight="1" s="33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</row>
    <row r="81" ht="18.5" customHeight="1" s="33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84" t="n"/>
      <c r="N81" s="84" t="n"/>
      <c r="O81" s="84" t="n"/>
      <c r="P81" s="84" t="n"/>
      <c r="Q81" s="84" t="n"/>
      <c r="R81" s="84" t="n"/>
      <c r="S81" s="84" t="n"/>
    </row>
    <row r="82" ht="18.5" customHeight="1" s="33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5" t="n"/>
      <c r="M82" s="84" t="n"/>
      <c r="N82" s="84" t="n"/>
      <c r="O82" s="84" t="n"/>
      <c r="P82" s="84" t="n"/>
      <c r="Q82" s="84" t="n"/>
      <c r="R82" s="84" t="n"/>
      <c r="S82" s="84" t="n"/>
    </row>
    <row r="83" ht="18.5" customHeight="1" s="3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84" t="n"/>
      <c r="N83" s="84" t="n"/>
      <c r="O83" s="84" t="n"/>
      <c r="P83" s="84" t="n"/>
      <c r="Q83" s="84" t="n"/>
      <c r="R83" s="84" t="n"/>
      <c r="S83" s="84" t="n"/>
    </row>
    <row r="84" ht="18.5" customHeight="1" s="33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5" t="n"/>
      <c r="M84" s="84" t="n"/>
      <c r="N84" s="84" t="n"/>
      <c r="O84" s="84" t="n"/>
      <c r="P84" s="84" t="n"/>
      <c r="Q84" s="84" t="n"/>
      <c r="R84" s="84" t="n"/>
      <c r="S84" s="84" t="n"/>
    </row>
    <row r="85" ht="18.5" customHeight="1" s="33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84" t="n"/>
      <c r="N85" s="84" t="n"/>
      <c r="O85" s="84" t="n"/>
      <c r="P85" s="84" t="n"/>
      <c r="Q85" s="84" t="n"/>
      <c r="R85" s="84" t="n"/>
      <c r="S85" s="84" t="n"/>
    </row>
    <row r="86" ht="18.5" customHeight="1" s="33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5" t="n"/>
      <c r="M86" s="84" t="n"/>
      <c r="N86" s="84" t="n"/>
      <c r="O86" s="84" t="n"/>
      <c r="P86" s="84" t="n"/>
      <c r="Q86" s="84" t="n"/>
      <c r="R86" s="84" t="n"/>
      <c r="S86" s="84" t="n"/>
    </row>
    <row r="87" ht="18.5" customHeight="1" s="33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5" t="n"/>
      <c r="M87" s="84" t="n"/>
      <c r="N87" s="84" t="n"/>
      <c r="O87" s="84" t="n"/>
      <c r="P87" s="84" t="n"/>
      <c r="Q87" s="84" t="n"/>
      <c r="R87" s="84" t="n"/>
      <c r="S87" s="84" t="n"/>
    </row>
    <row r="88" ht="18.5" customHeight="1" s="33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5" t="n"/>
      <c r="M88" s="84" t="n"/>
      <c r="N88" s="84" t="n"/>
      <c r="O88" s="84" t="n"/>
      <c r="P88" s="84" t="n"/>
      <c r="Q88" s="84" t="n"/>
      <c r="R88" s="84" t="n"/>
      <c r="S88" s="84" t="n"/>
    </row>
    <row r="89" ht="18.5" customHeight="1" s="33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5" t="n"/>
      <c r="M89" s="84" t="n"/>
      <c r="N89" s="84" t="n"/>
      <c r="O89" s="84" t="n"/>
      <c r="P89" s="84" t="n"/>
      <c r="Q89" s="84" t="n"/>
      <c r="R89" s="84" t="n"/>
      <c r="S89" s="84" t="n"/>
    </row>
    <row r="90" ht="18.5" customHeight="1" s="33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n"/>
      <c r="S90" s="84" t="n"/>
    </row>
    <row r="91" ht="18.5" customHeight="1" s="33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5" t="n"/>
      <c r="M91" s="84" t="n"/>
      <c r="N91" s="84" t="n"/>
      <c r="O91" s="84" t="n"/>
      <c r="P91" s="84" t="n"/>
      <c r="Q91" s="84" t="n"/>
      <c r="R91" s="84" t="n"/>
      <c r="S91" s="84" t="n"/>
    </row>
    <row r="92" ht="18.5" customHeight="1" s="33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5" t="n"/>
      <c r="M92" s="84" t="n"/>
      <c r="N92" s="84" t="n"/>
      <c r="O92" s="84" t="n"/>
      <c r="P92" s="84" t="n"/>
      <c r="Q92" s="84" t="n"/>
      <c r="R92" s="84" t="n"/>
      <c r="S92" s="84" t="n"/>
    </row>
    <row r="93" ht="18.5" customHeight="1" s="3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5" t="n"/>
      <c r="M93" s="84" t="n"/>
      <c r="N93" s="84" t="n"/>
      <c r="O93" s="84" t="n"/>
      <c r="P93" s="84" t="n"/>
      <c r="Q93" s="84" t="n"/>
      <c r="R93" s="84" t="n"/>
      <c r="S93" s="84" t="n"/>
    </row>
    <row r="94" ht="18.5" customHeight="1" s="33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n"/>
      <c r="S94" s="84" t="n"/>
    </row>
    <row r="95" ht="18.5" customHeight="1" s="33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84" t="n"/>
      <c r="N95" s="84" t="n"/>
      <c r="O95" s="84" t="n"/>
      <c r="P95" s="84" t="n"/>
      <c r="Q95" s="84" t="n"/>
      <c r="R95" s="84" t="n"/>
      <c r="S95" s="84" t="n"/>
    </row>
    <row r="96" ht="18.5" customHeight="1" s="33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n"/>
      <c r="S96" s="84" t="n"/>
    </row>
    <row r="97" ht="18.5" customHeight="1" s="33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  <c r="R97" s="84" t="n"/>
      <c r="S97" s="84" t="n"/>
    </row>
    <row r="98" ht="18.5" customHeight="1" s="33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n"/>
      <c r="S98" s="84" t="n"/>
    </row>
    <row r="99" ht="18.5" customHeight="1" s="33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5" t="n"/>
      <c r="M99" s="84" t="n"/>
      <c r="N99" s="84" t="n"/>
      <c r="O99" s="84" t="n"/>
      <c r="P99" s="84" t="n"/>
      <c r="Q99" s="84" t="n"/>
      <c r="R99" s="84" t="n"/>
      <c r="S99" s="84" t="n"/>
    </row>
    <row r="100" ht="18.5" customHeight="1" s="33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n"/>
      <c r="S100" s="84" t="n"/>
    </row>
    <row r="101" ht="18.5" customHeight="1" s="33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5" t="n"/>
      <c r="M101" s="84" t="n"/>
      <c r="N101" s="84" t="n"/>
      <c r="O101" s="84" t="n"/>
      <c r="P101" s="84" t="n"/>
      <c r="Q101" s="84" t="n"/>
      <c r="R101" s="84" t="n"/>
      <c r="S101" s="84" t="n"/>
    </row>
    <row r="102" ht="18.5" customHeight="1" s="33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5" t="n"/>
      <c r="M102" s="84" t="n"/>
      <c r="N102" s="84" t="n"/>
      <c r="O102" s="84" t="n"/>
      <c r="P102" s="84" t="n"/>
      <c r="Q102" s="84" t="n"/>
      <c r="R102" s="84" t="n"/>
      <c r="S102" s="84" t="n"/>
    </row>
    <row r="103" ht="18.5" customHeight="1" s="3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84" t="n"/>
      <c r="N103" s="84" t="n"/>
      <c r="O103" s="84" t="n"/>
      <c r="P103" s="84" t="n"/>
      <c r="Q103" s="84" t="n"/>
      <c r="R103" s="84" t="n"/>
      <c r="S103" s="84" t="n"/>
    </row>
    <row r="104" ht="18.5" customHeight="1" s="33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n"/>
      <c r="S104" s="84" t="n"/>
    </row>
    <row r="105" ht="18.5" customHeight="1" s="33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84" t="n"/>
      <c r="N105" s="84" t="n"/>
      <c r="O105" s="84" t="n"/>
      <c r="P105" s="84" t="n"/>
      <c r="Q105" s="84" t="n"/>
      <c r="R105" s="84" t="n"/>
      <c r="S105" s="84" t="n"/>
    </row>
    <row r="106" ht="18.5" customHeight="1" s="33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5" t="n"/>
      <c r="M106" s="84" t="n"/>
      <c r="N106" s="84" t="n"/>
      <c r="O106" s="84" t="n"/>
      <c r="P106" s="84" t="n"/>
      <c r="Q106" s="84" t="n"/>
      <c r="R106" s="84" t="n"/>
      <c r="S106" s="84" t="n"/>
    </row>
    <row r="107" ht="18.5" customHeight="1" s="33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5" t="n"/>
      <c r="M107" s="84" t="n"/>
      <c r="N107" s="84" t="n"/>
      <c r="O107" s="84" t="n"/>
      <c r="P107" s="84" t="n"/>
      <c r="Q107" s="84" t="n"/>
      <c r="R107" s="84" t="n"/>
      <c r="S107" s="84" t="n"/>
    </row>
    <row r="108" ht="18.5" customHeight="1" s="33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n"/>
      <c r="S108" s="84" t="n"/>
    </row>
    <row r="109" ht="18.5" customHeight="1" s="33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84" t="n"/>
      <c r="N109" s="84" t="n"/>
      <c r="O109" s="84" t="n"/>
      <c r="P109" s="84" t="n"/>
      <c r="Q109" s="84" t="n"/>
      <c r="R109" s="84" t="n"/>
      <c r="S109" s="84" t="n"/>
    </row>
    <row r="110" ht="18.5" customHeight="1" s="33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n"/>
      <c r="S110" s="84" t="n"/>
    </row>
    <row r="111" ht="18.5" customHeight="1" s="33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84" t="n"/>
      <c r="N111" s="84" t="n"/>
      <c r="O111" s="84" t="n"/>
      <c r="P111" s="84" t="n"/>
      <c r="Q111" s="84" t="n"/>
      <c r="R111" s="84" t="n"/>
      <c r="S111" s="84" t="n"/>
    </row>
    <row r="112" ht="18.5" customHeight="1" s="33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n"/>
      <c r="S112" s="84" t="n"/>
    </row>
    <row r="113" ht="18.5" customHeight="1" s="3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84" t="n"/>
      <c r="N113" s="84" t="n"/>
      <c r="O113" s="84" t="n"/>
      <c r="P113" s="84" t="n"/>
      <c r="Q113" s="84" t="n"/>
      <c r="R113" s="84" t="n"/>
      <c r="S113" s="84" t="n"/>
    </row>
    <row r="114" ht="18.5" customHeight="1" s="33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n"/>
      <c r="S114" s="84" t="n"/>
    </row>
    <row r="115" ht="18.5" customHeight="1" s="33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5" t="n"/>
      <c r="M115" s="84" t="n"/>
      <c r="N115" s="84" t="n"/>
      <c r="O115" s="84" t="n"/>
      <c r="P115" s="84" t="n"/>
      <c r="Q115" s="84" t="n"/>
      <c r="R115" s="84" t="n"/>
      <c r="S115" s="84" t="n"/>
    </row>
    <row r="116" ht="18.5" customHeight="1" s="33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5" t="n"/>
      <c r="M116" s="84" t="n"/>
      <c r="N116" s="84" t="n"/>
      <c r="O116" s="84" t="n"/>
      <c r="P116" s="84" t="n"/>
      <c r="Q116" s="84" t="n"/>
      <c r="R116" s="84" t="n"/>
      <c r="S116" s="84" t="n"/>
    </row>
    <row r="117" ht="18.5" customHeight="1" s="33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84" t="n"/>
      <c r="N117" s="84" t="n"/>
      <c r="O117" s="84" t="n"/>
      <c r="P117" s="84" t="n"/>
      <c r="Q117" s="84" t="n"/>
      <c r="R117" s="84" t="n"/>
      <c r="S117" s="84" t="n"/>
    </row>
    <row r="118" ht="18.5" customHeight="1" s="33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n"/>
      <c r="S118" s="84" t="n"/>
    </row>
    <row r="119" ht="18.5" customHeight="1" s="33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84" t="n"/>
      <c r="N119" s="84" t="n"/>
      <c r="O119" s="84" t="n"/>
      <c r="P119" s="84" t="n"/>
      <c r="Q119" s="84" t="n"/>
      <c r="R119" s="84" t="n"/>
      <c r="S119" s="84" t="n"/>
    </row>
    <row r="120" ht="18.5" customHeight="1" s="33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n"/>
      <c r="S120" s="84" t="n"/>
    </row>
    <row r="121" ht="18.5" customHeight="1" s="33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84" t="n"/>
      <c r="N121" s="84" t="n"/>
      <c r="O121" s="84" t="n"/>
      <c r="P121" s="84" t="n"/>
      <c r="Q121" s="84" t="n"/>
      <c r="R121" s="84" t="n"/>
      <c r="S121" s="84" t="n"/>
    </row>
    <row r="122" ht="18.5" customHeight="1" s="33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5" t="n"/>
      <c r="M122" s="84" t="n"/>
      <c r="N122" s="84" t="n"/>
      <c r="O122" s="84" t="n"/>
      <c r="P122" s="84" t="n"/>
      <c r="Q122" s="84" t="n"/>
      <c r="R122" s="84" t="n"/>
      <c r="S122" s="84" t="n"/>
    </row>
    <row r="123" ht="18.5" customHeight="1" s="3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5" t="n"/>
      <c r="M123" s="84" t="n"/>
      <c r="N123" s="84" t="n"/>
      <c r="O123" s="84" t="n"/>
      <c r="P123" s="84" t="n"/>
      <c r="Q123" s="84" t="n"/>
      <c r="R123" s="84" t="n"/>
      <c r="S123" s="84" t="n"/>
    </row>
    <row r="124" ht="18.5" customHeight="1" s="33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5" t="n"/>
      <c r="M124" s="84" t="n"/>
      <c r="N124" s="84" t="n"/>
      <c r="O124" s="84" t="n"/>
      <c r="P124" s="84" t="n"/>
      <c r="Q124" s="84" t="n"/>
      <c r="R124" s="84" t="n"/>
      <c r="S124" s="84" t="n"/>
    </row>
    <row r="125" ht="18.5" customHeight="1" s="33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5" t="n"/>
      <c r="M125" s="84" t="n"/>
      <c r="N125" s="84" t="n"/>
      <c r="O125" s="84" t="n"/>
      <c r="P125" s="84" t="n"/>
      <c r="Q125" s="84" t="n"/>
      <c r="R125" s="84" t="n"/>
      <c r="S125" s="84" t="n"/>
    </row>
    <row r="126" ht="18.5" customHeight="1" s="33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n"/>
      <c r="S126" s="84" t="n"/>
    </row>
    <row r="127" ht="18.5" customHeight="1" s="33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5" t="n"/>
      <c r="M127" s="84" t="n"/>
      <c r="N127" s="84" t="n"/>
      <c r="O127" s="84" t="n"/>
      <c r="P127" s="84" t="n"/>
      <c r="Q127" s="84" t="n"/>
      <c r="R127" s="84" t="n"/>
      <c r="S127" s="84" t="n"/>
    </row>
    <row r="128" ht="18.5" customHeight="1" s="33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5" t="n"/>
      <c r="M128" s="84" t="n"/>
      <c r="N128" s="84" t="n"/>
      <c r="O128" s="84" t="n"/>
      <c r="P128" s="84" t="n"/>
      <c r="Q128" s="84" t="n"/>
      <c r="R128" s="84" t="n"/>
      <c r="S128" s="84" t="n"/>
    </row>
    <row r="129" ht="18.5" customHeight="1" s="33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84" t="n"/>
      <c r="N129" s="84" t="n"/>
      <c r="O129" s="84" t="n"/>
      <c r="P129" s="84" t="n"/>
      <c r="Q129" s="84" t="n"/>
      <c r="R129" s="84" t="n"/>
      <c r="S129" s="84" t="n"/>
    </row>
    <row r="130" ht="18.5" customHeight="1" s="33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5" t="n"/>
      <c r="M130" s="84" t="n"/>
      <c r="N130" s="84" t="n"/>
      <c r="O130" s="84" t="n"/>
      <c r="P130" s="84" t="n"/>
      <c r="Q130" s="84" t="n"/>
      <c r="R130" s="84" t="n"/>
      <c r="S130" s="84" t="n"/>
    </row>
    <row r="131" ht="18.5" customHeight="1" s="33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84" t="n"/>
      <c r="N131" s="84" t="n"/>
      <c r="O131" s="84" t="n"/>
      <c r="P131" s="84" t="n"/>
      <c r="Q131" s="84" t="n"/>
      <c r="R131" s="84" t="n"/>
      <c r="S131" s="84" t="n"/>
    </row>
    <row r="132" ht="18.5" customHeight="1" s="33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5" t="n"/>
      <c r="M132" s="84" t="n"/>
      <c r="N132" s="84" t="n"/>
      <c r="O132" s="84" t="n"/>
      <c r="P132" s="84" t="n"/>
      <c r="Q132" s="84" t="n"/>
      <c r="R132" s="84" t="n"/>
      <c r="S132" s="84" t="n"/>
    </row>
    <row r="133" ht="18.5" customHeight="1" s="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84" t="n"/>
      <c r="N133" s="84" t="n"/>
      <c r="O133" s="84" t="n"/>
      <c r="P133" s="84" t="n"/>
      <c r="Q133" s="84" t="n"/>
      <c r="R133" s="84" t="n"/>
      <c r="S133" s="84" t="n"/>
    </row>
    <row r="134" ht="18.5" customHeight="1" s="33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n"/>
      <c r="S134" s="84" t="n"/>
    </row>
    <row r="135" ht="18.5" customHeight="1" s="33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84" t="n"/>
      <c r="N135" s="84" t="n"/>
      <c r="O135" s="84" t="n"/>
      <c r="P135" s="84" t="n"/>
      <c r="Q135" s="84" t="n"/>
      <c r="R135" s="84" t="n"/>
      <c r="S135" s="84" t="n"/>
    </row>
    <row r="136" ht="18.5" customHeight="1" s="33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n"/>
      <c r="S136" s="84" t="n"/>
    </row>
    <row r="137" ht="18.5" customHeight="1" s="33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84" t="n"/>
      <c r="N137" s="84" t="n"/>
      <c r="O137" s="84" t="n"/>
      <c r="P137" s="84" t="n"/>
      <c r="Q137" s="84" t="n"/>
      <c r="R137" s="84" t="n"/>
      <c r="S137" s="84" t="n"/>
    </row>
    <row r="138" ht="18.5" customHeight="1" s="33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n"/>
      <c r="S138" s="84" t="n"/>
    </row>
    <row r="139" ht="18.5" customHeight="1" s="33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84" t="n"/>
      <c r="N139" s="84" t="n"/>
      <c r="O139" s="84" t="n"/>
      <c r="P139" s="84" t="n"/>
      <c r="Q139" s="84" t="n"/>
      <c r="R139" s="84" t="n"/>
      <c r="S139" s="84" t="n"/>
    </row>
    <row r="140" ht="18.5" customHeight="1" s="33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5" t="n"/>
      <c r="M140" s="84" t="n"/>
      <c r="N140" s="84" t="n"/>
      <c r="O140" s="84" t="n"/>
      <c r="P140" s="84" t="n"/>
      <c r="Q140" s="84" t="n"/>
      <c r="R140" s="84" t="n"/>
      <c r="S140" s="84" t="n"/>
    </row>
    <row r="141" ht="18.5" customHeight="1" s="33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5" t="n"/>
      <c r="M141" s="84" t="n"/>
      <c r="N141" s="84" t="n"/>
      <c r="O141" s="84" t="n"/>
      <c r="P141" s="84" t="n"/>
      <c r="Q141" s="84" t="n"/>
      <c r="R141" s="84" t="n"/>
      <c r="S141" s="84" t="n"/>
    </row>
    <row r="142" ht="18.5" customHeight="1" s="33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5" t="n"/>
      <c r="M142" s="84" t="n"/>
      <c r="N142" s="84" t="n"/>
      <c r="O142" s="84" t="n"/>
      <c r="P142" s="84" t="n"/>
      <c r="Q142" s="84" t="n"/>
      <c r="R142" s="84" t="n"/>
      <c r="S142" s="84" t="n"/>
    </row>
    <row r="143" ht="18.5" customHeight="1" s="3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84" t="n"/>
      <c r="N143" s="84" t="n"/>
      <c r="O143" s="84" t="n"/>
      <c r="P143" s="84" t="n"/>
      <c r="Q143" s="84" t="n"/>
      <c r="R143" s="84" t="n"/>
      <c r="S143" s="84" t="n"/>
    </row>
    <row r="144" ht="18.5" customHeight="1" s="33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5" t="n"/>
      <c r="M144" s="84" t="n"/>
      <c r="N144" s="84" t="n"/>
      <c r="O144" s="84" t="n"/>
      <c r="P144" s="84" t="n"/>
      <c r="Q144" s="84" t="n"/>
      <c r="R144" s="84" t="n"/>
      <c r="S144" s="84" t="n"/>
    </row>
    <row r="145" ht="18.5" customHeight="1" s="33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5" t="n"/>
      <c r="M145" s="84" t="n"/>
      <c r="N145" s="84" t="n"/>
      <c r="O145" s="84" t="n"/>
      <c r="P145" s="84" t="n"/>
      <c r="Q145" s="84" t="n"/>
      <c r="R145" s="84" t="n"/>
      <c r="S145" s="84" t="n"/>
    </row>
    <row r="146" ht="18.5" customHeight="1" s="33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5" t="n"/>
      <c r="M146" s="84" t="n"/>
      <c r="N146" s="84" t="n"/>
      <c r="O146" s="84" t="n"/>
      <c r="P146" s="84" t="n"/>
      <c r="Q146" s="84" t="n"/>
      <c r="R146" s="84" t="n"/>
      <c r="S146" s="84" t="n"/>
    </row>
    <row r="147" ht="18.5" customHeight="1" s="33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84" t="n"/>
      <c r="N147" s="84" t="n"/>
      <c r="O147" s="84" t="n"/>
      <c r="P147" s="84" t="n"/>
      <c r="Q147" s="84" t="n"/>
      <c r="R147" s="84" t="n"/>
      <c r="S147" s="84" t="n"/>
    </row>
    <row r="148" ht="18.5" customHeight="1" s="33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5" t="n"/>
      <c r="M148" s="84" t="n"/>
      <c r="N148" s="84" t="n"/>
      <c r="O148" s="84" t="n"/>
      <c r="P148" s="84" t="n"/>
      <c r="Q148" s="84" t="n"/>
      <c r="R148" s="84" t="n"/>
      <c r="S148" s="84" t="n"/>
    </row>
    <row r="149" ht="18.5" customHeight="1" s="33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5" t="n"/>
      <c r="M149" s="84" t="n"/>
      <c r="N149" s="84" t="n"/>
      <c r="O149" s="84" t="n"/>
      <c r="P149" s="84" t="n"/>
      <c r="Q149" s="84" t="n"/>
      <c r="R149" s="84" t="n"/>
      <c r="S149" s="84" t="n"/>
    </row>
    <row r="150" ht="18.5" customHeight="1" s="33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5" t="n"/>
      <c r="M150" s="84" t="n"/>
      <c r="N150" s="84" t="n"/>
      <c r="O150" s="84" t="n"/>
      <c r="P150" s="84" t="n"/>
      <c r="Q150" s="84" t="n"/>
      <c r="R150" s="84" t="n"/>
      <c r="S150" s="84" t="n"/>
    </row>
    <row r="151" ht="18.5" customHeight="1" s="33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84" t="n"/>
      <c r="N151" s="84" t="n"/>
      <c r="O151" s="84" t="n"/>
      <c r="P151" s="84" t="n"/>
      <c r="Q151" s="84" t="n"/>
      <c r="R151" s="84" t="n"/>
      <c r="S151" s="84" t="n"/>
    </row>
    <row r="152" ht="18.5" customHeight="1" s="33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5" t="n"/>
      <c r="M152" s="84" t="n"/>
      <c r="N152" s="84" t="n"/>
      <c r="O152" s="84" t="n"/>
      <c r="P152" s="84" t="n"/>
      <c r="Q152" s="84" t="n"/>
      <c r="R152" s="84" t="n"/>
      <c r="S152" s="84" t="n"/>
    </row>
    <row r="153" ht="18.5" customHeight="1" s="3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84" t="n"/>
      <c r="N153" s="84" t="n"/>
      <c r="O153" s="84" t="n"/>
      <c r="P153" s="84" t="n"/>
      <c r="Q153" s="84" t="n"/>
      <c r="R153" s="84" t="n"/>
      <c r="S153" s="84" t="n"/>
    </row>
    <row r="154" ht="18.5" customHeight="1" s="33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n"/>
      <c r="S154" s="84" t="n"/>
    </row>
    <row r="155" ht="18.5" customHeight="1" s="33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84" t="n"/>
      <c r="N155" s="84" t="n"/>
      <c r="O155" s="84" t="n"/>
      <c r="P155" s="84" t="n"/>
      <c r="Q155" s="84" t="n"/>
      <c r="R155" s="84" t="n"/>
      <c r="S155" s="84" t="n"/>
    </row>
    <row r="156" ht="18.5" customHeight="1" s="33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5" t="n"/>
      <c r="M156" s="84" t="n"/>
      <c r="N156" s="84" t="n"/>
      <c r="O156" s="84" t="n"/>
      <c r="P156" s="84" t="n"/>
      <c r="Q156" s="84" t="n"/>
      <c r="R156" s="84" t="n"/>
      <c r="S156" s="84" t="n"/>
    </row>
    <row r="157" ht="18.5" customHeight="1" s="33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5" t="n"/>
      <c r="M157" s="84" t="n"/>
      <c r="N157" s="84" t="n"/>
      <c r="O157" s="84" t="n"/>
      <c r="P157" s="84" t="n"/>
      <c r="Q157" s="84" t="n"/>
      <c r="R157" s="84" t="n"/>
      <c r="S157" s="84" t="n"/>
    </row>
    <row r="158" ht="18.5" customHeight="1" s="33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n"/>
      <c r="S158" s="84" t="n"/>
    </row>
    <row r="159" ht="18.5" customHeight="1" s="33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5" t="n"/>
      <c r="M159" s="84" t="n"/>
      <c r="N159" s="84" t="n"/>
      <c r="O159" s="84" t="n"/>
      <c r="P159" s="84" t="n"/>
      <c r="Q159" s="84" t="n"/>
      <c r="R159" s="84" t="n"/>
      <c r="S159" s="84" t="n"/>
    </row>
    <row r="160" ht="18.5" customHeight="1" s="33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n"/>
      <c r="S160" s="84" t="n"/>
    </row>
    <row r="161" ht="18.5" customHeight="1" s="33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84" t="n"/>
      <c r="N161" s="84" t="n"/>
      <c r="O161" s="84" t="n"/>
      <c r="P161" s="84" t="n"/>
      <c r="Q161" s="84" t="n"/>
      <c r="R161" s="84" t="n"/>
      <c r="S161" s="84" t="n"/>
    </row>
    <row r="162" ht="18.5" customHeight="1" s="33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5" t="n"/>
      <c r="M162" s="84" t="n"/>
      <c r="N162" s="84" t="n"/>
      <c r="O162" s="84" t="n"/>
      <c r="P162" s="84" t="n"/>
      <c r="Q162" s="84" t="n"/>
      <c r="R162" s="84" t="n"/>
      <c r="S162" s="84" t="n"/>
    </row>
    <row r="163" ht="18.5" customHeight="1" s="3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84" t="n"/>
      <c r="N163" s="84" t="n"/>
      <c r="O163" s="84" t="n"/>
      <c r="P163" s="84" t="n"/>
      <c r="Q163" s="84" t="n"/>
      <c r="R163" s="84" t="n"/>
      <c r="S163" s="84" t="n"/>
    </row>
    <row r="164" ht="18.5" customHeight="1" s="33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n"/>
      <c r="S164" s="84" t="n"/>
    </row>
    <row r="165" ht="18.5" customHeight="1" s="33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5" t="n"/>
      <c r="M165" s="84" t="n"/>
      <c r="N165" s="84" t="n"/>
      <c r="O165" s="84" t="n"/>
      <c r="P165" s="84" t="n"/>
      <c r="Q165" s="84" t="n"/>
      <c r="R165" s="84" t="n"/>
      <c r="S165" s="84" t="n"/>
    </row>
    <row r="166" ht="18.5" customHeight="1" s="33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5" t="n"/>
      <c r="M166" s="84" t="n"/>
      <c r="N166" s="84" t="n"/>
      <c r="O166" s="84" t="n"/>
      <c r="P166" s="84" t="n"/>
      <c r="Q166" s="84" t="n"/>
      <c r="R166" s="84" t="n"/>
      <c r="S166" s="84" t="n"/>
    </row>
    <row r="167" ht="18.5" customHeight="1" s="33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5" t="n"/>
      <c r="M167" s="84" t="n"/>
      <c r="N167" s="84" t="n"/>
      <c r="O167" s="84" t="n"/>
      <c r="P167" s="84" t="n"/>
      <c r="Q167" s="84" t="n"/>
      <c r="R167" s="84" t="n"/>
      <c r="S167" s="84" t="n"/>
    </row>
    <row r="168" ht="18.5" customHeight="1" s="33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n"/>
      <c r="S168" s="84" t="n"/>
    </row>
    <row r="169" ht="18.5" customHeight="1" s="33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84" t="n"/>
      <c r="N169" s="84" t="n"/>
      <c r="O169" s="84" t="n"/>
      <c r="P169" s="84" t="n"/>
      <c r="Q169" s="84" t="n"/>
      <c r="R169" s="84" t="n"/>
      <c r="S169" s="84" t="n"/>
    </row>
    <row r="170" ht="18.5" customHeight="1" s="33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n"/>
      <c r="S170" s="84" t="n"/>
    </row>
    <row r="171" ht="18.5" customHeight="1" s="33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84" t="n"/>
      <c r="N171" s="84" t="n"/>
      <c r="O171" s="84" t="n"/>
      <c r="P171" s="84" t="n"/>
      <c r="Q171" s="84" t="n"/>
      <c r="R171" s="84" t="n"/>
      <c r="S171" s="84" t="n"/>
    </row>
    <row r="172" ht="18.5" customHeight="1" s="33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n"/>
      <c r="S172" s="84" t="n"/>
    </row>
    <row r="173" ht="18.5" customHeight="1" s="3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84" t="n"/>
      <c r="N173" s="84" t="n"/>
      <c r="O173" s="84" t="n"/>
      <c r="P173" s="84" t="n"/>
      <c r="Q173" s="84" t="n"/>
      <c r="R173" s="84" t="n"/>
      <c r="S173" s="84" t="n"/>
    </row>
    <row r="174" ht="18.5" customHeight="1" s="33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5" t="n"/>
      <c r="M174" s="84" t="n"/>
      <c r="N174" s="84" t="n"/>
      <c r="O174" s="84" t="n"/>
      <c r="P174" s="84" t="n"/>
      <c r="Q174" s="84" t="n"/>
      <c r="R174" s="84" t="n"/>
      <c r="S174" s="84" t="n"/>
    </row>
    <row r="175" ht="18.5" customHeight="1" s="33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5" t="n"/>
      <c r="M175" s="84" t="n"/>
      <c r="N175" s="84" t="n"/>
      <c r="O175" s="84" t="n"/>
      <c r="P175" s="84" t="n"/>
      <c r="Q175" s="84" t="n"/>
      <c r="R175" s="84" t="n"/>
      <c r="S175" s="84" t="n"/>
    </row>
    <row r="176" ht="18.5" customHeight="1" s="33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n"/>
      <c r="S176" s="84" t="n"/>
    </row>
    <row r="177" ht="18.5" customHeight="1" s="33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84" t="n"/>
      <c r="N177" s="84" t="n"/>
      <c r="O177" s="84" t="n"/>
      <c r="P177" s="84" t="n"/>
      <c r="Q177" s="84" t="n"/>
      <c r="R177" s="84" t="n"/>
      <c r="S177" s="84" t="n"/>
    </row>
    <row r="178" ht="18.5" customHeight="1" s="33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n"/>
      <c r="S178" s="84" t="n"/>
    </row>
    <row r="179" ht="18.5" customHeight="1" s="33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84" t="n"/>
      <c r="N179" s="84" t="n"/>
      <c r="O179" s="84" t="n"/>
      <c r="P179" s="84" t="n"/>
      <c r="Q179" s="84" t="n"/>
      <c r="R179" s="84" t="n"/>
      <c r="S179" s="84" t="n"/>
    </row>
    <row r="180" ht="18.5" customHeight="1" s="33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5" t="n"/>
      <c r="M180" s="84" t="n"/>
      <c r="N180" s="84" t="n"/>
      <c r="O180" s="84" t="n"/>
      <c r="P180" s="84" t="n"/>
      <c r="Q180" s="84" t="n"/>
      <c r="R180" s="84" t="n"/>
      <c r="S180" s="84" t="n"/>
    </row>
    <row r="181" ht="18.5" customHeight="1" s="33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5" t="n"/>
      <c r="M181" s="84" t="n"/>
      <c r="N181" s="84" t="n"/>
      <c r="O181" s="84" t="n"/>
      <c r="P181" s="84" t="n"/>
      <c r="Q181" s="84" t="n"/>
      <c r="R181" s="84" t="n"/>
      <c r="S181" s="84" t="n"/>
    </row>
    <row r="182" ht="18.5" customHeight="1" s="33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n"/>
      <c r="S182" s="84" t="n"/>
    </row>
    <row r="183" ht="18.5" customHeight="1" s="3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84" t="n"/>
      <c r="N183" s="84" t="n"/>
      <c r="O183" s="84" t="n"/>
      <c r="P183" s="84" t="n"/>
      <c r="Q183" s="84" t="n"/>
      <c r="R183" s="84" t="n"/>
      <c r="S183" s="84" t="n"/>
    </row>
    <row r="184" ht="18.5" customHeight="1" s="33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n"/>
      <c r="S184" s="84" t="n"/>
    </row>
    <row r="185" ht="18.5" customHeight="1" s="33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84" t="n"/>
      <c r="N185" s="84" t="n"/>
      <c r="O185" s="84" t="n"/>
      <c r="P185" s="84" t="n"/>
      <c r="Q185" s="84" t="n"/>
      <c r="R185" s="84" t="n"/>
      <c r="S185" s="84" t="n"/>
    </row>
    <row r="186" ht="18.5" customHeight="1" s="33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n"/>
      <c r="S186" s="84" t="n"/>
    </row>
    <row r="187" ht="18.5" customHeight="1" s="33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84" t="n"/>
      <c r="N187" s="84" t="n"/>
      <c r="O187" s="84" t="n"/>
      <c r="P187" s="84" t="n"/>
      <c r="Q187" s="84" t="n"/>
      <c r="R187" s="84" t="n"/>
      <c r="S187" s="84" t="n"/>
    </row>
    <row r="188" ht="18.5" customHeight="1" s="33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n"/>
      <c r="S188" s="84" t="n"/>
    </row>
    <row r="189" ht="18.5" customHeight="1" s="33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84" t="n"/>
      <c r="N189" s="84" t="n"/>
      <c r="O189" s="84" t="n"/>
      <c r="P189" s="84" t="n"/>
      <c r="Q189" s="84" t="n"/>
      <c r="R189" s="84" t="n"/>
      <c r="S189" s="84" t="n"/>
    </row>
    <row r="190" ht="18.5" customHeight="1" s="33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n"/>
      <c r="S190" s="84" t="n"/>
    </row>
    <row r="191" ht="18.5" customHeight="1" s="33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84" t="n"/>
      <c r="N191" s="84" t="n"/>
      <c r="O191" s="84" t="n"/>
      <c r="P191" s="84" t="n"/>
      <c r="Q191" s="84" t="n"/>
      <c r="R191" s="84" t="n"/>
      <c r="S191" s="84" t="n"/>
    </row>
    <row r="192" ht="18.5" customHeight="1" s="33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n"/>
      <c r="S192" s="84" t="n"/>
    </row>
    <row r="193" ht="18.5" customHeight="1" s="3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84" t="n"/>
      <c r="N193" s="84" t="n"/>
      <c r="O193" s="84" t="n"/>
      <c r="P193" s="84" t="n"/>
      <c r="Q193" s="84" t="n"/>
      <c r="R193" s="84" t="n"/>
      <c r="S193" s="84" t="n"/>
    </row>
    <row r="194" ht="18.5" customHeight="1" s="33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n"/>
      <c r="S194" s="84" t="n"/>
    </row>
    <row r="195" ht="18.5" customHeight="1" s="33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84" t="n"/>
      <c r="N195" s="84" t="n"/>
      <c r="O195" s="84" t="n"/>
      <c r="P195" s="84" t="n"/>
      <c r="Q195" s="84" t="n"/>
      <c r="R195" s="84" t="n"/>
      <c r="S195" s="84" t="n"/>
    </row>
    <row r="196" ht="18.5" customHeight="1" s="33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n"/>
      <c r="S196" s="84" t="n"/>
    </row>
    <row r="197" ht="18.5" customHeight="1" s="33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5" t="n"/>
      <c r="M197" s="84" t="n"/>
      <c r="N197" s="84" t="n"/>
      <c r="O197" s="84" t="n"/>
      <c r="P197" s="84" t="n"/>
      <c r="Q197" s="84" t="n"/>
      <c r="R197" s="84" t="n"/>
      <c r="S197" s="84" t="n"/>
    </row>
    <row r="198" ht="18.5" customHeight="1" s="33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n"/>
      <c r="S198" s="84" t="n"/>
    </row>
  </sheetData>
  <conditionalFormatting sqref="L2:L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"Aprobado"</formula>
    </cfRule>
    <cfRule type="cellIs" rank="0" priority="4" equalAverage="0" operator="equal" aboveAverage="0" dxfId="2" text="" percent="0" bottom="0">
      <formula>"Fallido"</formula>
    </cfRule>
    <cfRule type="cellIs" rank="0" priority="5" equalAverage="0" operator="equal" aboveAverage="0" dxfId="3" text="" percent="0" bottom="0">
      <formula>"Bloqueado"</formula>
    </cfRule>
    <cfRule type="cellIs" rank="0" priority="6" equalAverage="0" operator="equal" aboveAverage="0" dxfId="4" text="" percent="0" bottom="0">
      <formula>"No aplica"</formula>
    </cfRule>
  </conditionalFormatting>
  <conditionalFormatting sqref="M2:M200">
    <cfRule type="expression" rank="0" priority="7" equalAverage="0" aboveAverage="0" dxfId="5" text="" percent="0" bottom="0">
      <formula>AND($L2="Fallido",$M2="")</formula>
    </cfRule>
  </conditionalFormatting>
  <dataValidations count="3">
    <dataValidation sqref="D2:D200" showDropDown="0" showInputMessage="0" showErrorMessage="0" allowBlank="1" errorTitle="Valor no válido" error="Elige un valor de la lista." type="list" errorStyle="stop" operator="between">
      <formula1>"Funcional,Negativa,Límite,Seguridad,E2E,Regresión"</formula1>
      <formula2>0</formula2>
    </dataValidation>
    <dataValidation sqref="E2:E200" showDropDown="0" showInputMessage="0" showErrorMessage="0" allowBlank="1" errorTitle="Valor no válido" error="Elige un valor de la lista." type="list" errorStyle="stop" operator="between">
      <formula1>"Crítica,Alta,Media,Baja"</formula1>
      <formula2>0</formula2>
    </dataValidation>
    <dataValidation sqref="L2:L200" showDropDown="0" showInputMessage="0" showErrorMessage="0" allowBlank="1" errorTitle="Valor no válido" error="Elige un valor de la lista." type="list" errorStyle="stop" operator="between">
      <formula1>"Pendiente,Aprobado,Fallido,Bloqueado,No aplica"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S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D2" activeCellId="0" sqref="D2"/>
    </sheetView>
  </sheetViews>
  <sheetFormatPr baseColWidth="8" defaultColWidth="8.6796875" defaultRowHeight="15" zeroHeight="0" outlineLevelRow="0"/>
  <cols>
    <col width="8" customWidth="1" style="32" min="1" max="1"/>
    <col width="11" customWidth="1" style="32" min="2" max="2"/>
    <col width="30" customWidth="1" style="32" min="3" max="4"/>
    <col width="13" customWidth="1" style="33" min="4" max="4"/>
    <col width="10" customWidth="1" style="32" min="5" max="6"/>
    <col width="13" customWidth="1" style="33" min="6" max="6"/>
    <col width="52" customWidth="1" style="32" min="7" max="7"/>
    <col width="30" customWidth="1" style="32" min="8" max="8"/>
    <col width="34" customWidth="1" style="32" min="9" max="9"/>
    <col width="14" customWidth="1" style="32" min="10" max="10"/>
    <col width="30" customWidth="1" style="32" min="11" max="11"/>
    <col width="13" customWidth="1" style="32" min="12" max="12"/>
    <col width="14" customWidth="1" style="32" min="13" max="13"/>
    <col width="11" customWidth="1" style="32" min="14" max="14"/>
    <col width="16" customWidth="1" style="32" min="15" max="15"/>
    <col width="30" customWidth="1" style="32" min="16" max="16"/>
    <col width="10" customWidth="1" style="32" min="17" max="17"/>
    <col width="20" customWidth="1" style="33" min="18" max="18"/>
    <col width="44" customWidth="1" style="33" min="19" max="19"/>
  </cols>
  <sheetData>
    <row r="1" ht="47.5" customHeight="1" s="33">
      <c r="A1" s="81" t="inlineStr">
        <is>
          <t>ID</t>
        </is>
      </c>
      <c r="B1" s="81" t="inlineStr">
        <is>
          <t>Nivel</t>
        </is>
      </c>
      <c r="C1" s="81" t="inlineStr">
        <is>
          <t>Caso</t>
        </is>
      </c>
      <c r="D1" s="81" t="inlineStr">
        <is>
          <t>Historia</t>
        </is>
      </c>
      <c r="E1" s="81" t="inlineStr">
        <is>
          <t>Requisito</t>
        </is>
      </c>
      <c r="F1" s="81" t="inlineStr">
        <is>
          <t>Prioridad</t>
        </is>
      </c>
      <c r="G1" s="81" t="inlineStr">
        <is>
          <t>Qué verifica</t>
        </is>
      </c>
      <c r="H1" s="81" t="inlineStr">
        <is>
          <t>Por qué está en la suite</t>
        </is>
      </c>
      <c r="I1" s="81" t="inlineStr">
        <is>
          <t>Cuándo se ejecuta</t>
        </is>
      </c>
      <c r="J1" s="81" t="inlineStr">
        <is>
          <t>Defecto relacionado</t>
        </is>
      </c>
      <c r="K1" s="81" t="inlineStr">
        <is>
          <t>Script (qa/automatizacion)</t>
        </is>
      </c>
      <c r="L1" s="81" t="inlineStr">
        <is>
          <t>Resultado previo [dd/mm/aaaa]</t>
        </is>
      </c>
      <c r="M1" s="81" t="inlineStr">
        <is>
          <t>Resultado regresión</t>
        </is>
      </c>
      <c r="N1" s="81" t="inlineStr">
        <is>
          <t>Fecha</t>
        </is>
      </c>
      <c r="O1" s="81" t="inlineStr">
        <is>
          <t>Ejecutado por</t>
        </is>
      </c>
      <c r="P1" s="81" t="inlineStr">
        <is>
          <t>Observación</t>
        </is>
      </c>
      <c r="Q1" s="81" t="inlineStr">
        <is>
          <t>Sprint</t>
        </is>
      </c>
      <c r="R1" s="81" t="inlineStr">
        <is>
          <t>Evidencia</t>
        </is>
      </c>
      <c r="S1" s="81" t="inlineStr">
        <is>
          <t>Fallos de entorno</t>
        </is>
      </c>
    </row>
    <row r="2" ht="47.5" customHeight="1" s="33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86" t="n"/>
      <c r="M2" s="83" t="n"/>
      <c r="N2" s="82" t="n"/>
      <c r="O2" s="82" t="n"/>
      <c r="P2" s="87" t="n"/>
      <c r="Q2" s="82" t="n"/>
      <c r="R2" s="82" t="n"/>
      <c r="S2" s="82" t="n"/>
    </row>
    <row r="3" ht="33" customHeight="1" s="3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86" t="n"/>
      <c r="M3" s="83" t="n"/>
      <c r="N3" s="82" t="n"/>
      <c r="O3" s="82" t="n"/>
      <c r="P3" s="87" t="n"/>
      <c r="Q3" s="82" t="n"/>
      <c r="R3" s="82" t="n"/>
      <c r="S3" s="82" t="n"/>
    </row>
    <row r="4" ht="33" customHeight="1" s="33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86" t="n"/>
      <c r="M4" s="83" t="n"/>
      <c r="N4" s="82" t="n"/>
      <c r="O4" s="82" t="n"/>
      <c r="P4" s="87" t="n"/>
      <c r="Q4" s="82" t="n"/>
      <c r="R4" s="82" t="n"/>
      <c r="S4" s="82" t="n"/>
    </row>
    <row r="5" ht="47.5" customHeight="1" s="33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86" t="n"/>
      <c r="M5" s="83" t="n"/>
      <c r="N5" s="82" t="n"/>
      <c r="O5" s="82" t="n"/>
      <c r="P5" s="87" t="n"/>
      <c r="Q5" s="82" t="n"/>
      <c r="R5" s="82" t="n"/>
      <c r="S5" s="82" t="n"/>
    </row>
    <row r="6" ht="47.5" customHeight="1" s="33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86" t="n"/>
      <c r="M6" s="83" t="n"/>
      <c r="N6" s="82" t="n"/>
      <c r="O6" s="82" t="n"/>
      <c r="P6" s="87" t="n"/>
      <c r="Q6" s="82" t="n"/>
      <c r="R6" s="82" t="n"/>
      <c r="S6" s="82" t="n"/>
    </row>
    <row r="7" ht="33" customHeight="1" s="33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86" t="n"/>
      <c r="M7" s="83" t="n"/>
      <c r="N7" s="82" t="n"/>
      <c r="O7" s="82" t="n"/>
      <c r="P7" s="87" t="n"/>
      <c r="Q7" s="82" t="n"/>
      <c r="R7" s="82" t="n"/>
      <c r="S7" s="82" t="n"/>
    </row>
    <row r="8" ht="33" customHeight="1" s="33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86" t="n"/>
      <c r="M8" s="83" t="n"/>
      <c r="N8" s="82" t="n"/>
      <c r="O8" s="82" t="n"/>
      <c r="P8" s="87" t="n"/>
      <c r="Q8" s="82" t="n"/>
      <c r="R8" s="82" t="n"/>
      <c r="S8" s="82" t="n"/>
    </row>
    <row r="9" ht="76.5" customHeight="1" s="33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86" t="n"/>
      <c r="M9" s="83" t="n"/>
      <c r="N9" s="82" t="n"/>
      <c r="O9" s="82" t="n"/>
      <c r="P9" s="87" t="n"/>
      <c r="Q9" s="82" t="n"/>
      <c r="R9" s="82" t="n"/>
      <c r="S9" s="82" t="n"/>
    </row>
    <row r="10" ht="62" customHeight="1" s="33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86" t="n"/>
      <c r="M10" s="83" t="n"/>
      <c r="N10" s="82" t="n"/>
      <c r="O10" s="82" t="n"/>
      <c r="P10" s="87" t="n"/>
      <c r="Q10" s="82" t="n"/>
      <c r="R10" s="82" t="n"/>
      <c r="S10" s="82" t="n"/>
    </row>
    <row r="11" ht="62" customHeight="1" s="33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86" t="n"/>
      <c r="M11" s="83" t="n"/>
      <c r="N11" s="82" t="n"/>
      <c r="O11" s="82" t="n"/>
      <c r="P11" s="87" t="n"/>
      <c r="Q11" s="82" t="n"/>
      <c r="R11" s="82" t="n"/>
      <c r="S11" s="82" t="n"/>
    </row>
    <row r="12" ht="62" customHeight="1" s="33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86" t="n"/>
      <c r="M12" s="83" t="n"/>
      <c r="N12" s="82" t="n"/>
      <c r="O12" s="82" t="n"/>
      <c r="P12" s="87" t="n"/>
      <c r="Q12" s="82" t="n"/>
      <c r="R12" s="82" t="n"/>
      <c r="S12" s="82" t="n"/>
    </row>
    <row r="13" ht="62" customHeight="1" s="3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86" t="n"/>
      <c r="M13" s="83" t="n"/>
      <c r="N13" s="82" t="n"/>
      <c r="O13" s="82" t="n"/>
      <c r="P13" s="82" t="n"/>
      <c r="Q13" s="82" t="n"/>
      <c r="R13" s="82" t="n"/>
      <c r="S13" s="82" t="n"/>
    </row>
    <row r="14" ht="47.5" customHeight="1" s="33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86" t="n"/>
      <c r="M14" s="83" t="n"/>
      <c r="N14" s="82" t="n"/>
      <c r="O14" s="82" t="n"/>
      <c r="P14" s="87" t="n"/>
      <c r="Q14" s="82" t="n"/>
      <c r="R14" s="82" t="n"/>
      <c r="S14" s="82" t="n"/>
    </row>
    <row r="15" ht="33" customHeight="1" s="33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86" t="n"/>
      <c r="M15" s="83" t="n"/>
      <c r="N15" s="82" t="n"/>
      <c r="O15" s="82" t="n"/>
      <c r="P15" s="82" t="n"/>
      <c r="Q15" s="82" t="n"/>
      <c r="R15" s="82" t="n"/>
      <c r="S15" s="82" t="n"/>
    </row>
    <row r="16" ht="18.5" customHeight="1" s="33">
      <c r="A16" s="84" t="n"/>
      <c r="B16" s="84" t="n"/>
      <c r="C16" s="84" t="n"/>
      <c r="D16" s="84" t="n"/>
      <c r="E16" s="84" t="n"/>
      <c r="F16" s="84" t="n"/>
      <c r="G16" s="84" t="n"/>
      <c r="H16" s="84" t="n"/>
      <c r="I16" s="84" t="n"/>
      <c r="J16" s="84" t="n"/>
      <c r="K16" s="84" t="n"/>
      <c r="L16" s="88" t="n"/>
      <c r="M16" s="89" t="n"/>
      <c r="N16" s="87" t="n"/>
      <c r="O16" s="87" t="n"/>
      <c r="P16" s="87" t="n"/>
      <c r="Q16" s="87" t="n"/>
      <c r="R16" s="87" t="n"/>
      <c r="S16" s="87" t="n"/>
    </row>
    <row r="17" ht="18.5" customHeight="1" s="33">
      <c r="A17" s="84" t="n"/>
      <c r="B17" s="84" t="n"/>
      <c r="C17" s="84" t="n"/>
      <c r="D17" s="84" t="n"/>
      <c r="E17" s="84" t="n"/>
      <c r="F17" s="84" t="n"/>
      <c r="G17" s="84" t="n"/>
      <c r="H17" s="84" t="n"/>
      <c r="I17" s="84" t="n"/>
      <c r="J17" s="84" t="n"/>
      <c r="K17" s="84" t="n"/>
      <c r="L17" s="88" t="n"/>
      <c r="M17" s="89" t="n"/>
      <c r="N17" s="87" t="n"/>
      <c r="O17" s="87" t="n"/>
      <c r="P17" s="87" t="n"/>
      <c r="Q17" s="87" t="n"/>
      <c r="R17" s="87" t="n"/>
      <c r="S17" s="87" t="n"/>
    </row>
    <row r="18" ht="18.5" customHeight="1" s="33">
      <c r="A18" s="84" t="n"/>
      <c r="B18" s="84" t="n"/>
      <c r="C18" s="84" t="n"/>
      <c r="D18" s="84" t="n"/>
      <c r="E18" s="84" t="n"/>
      <c r="F18" s="84" t="n"/>
      <c r="G18" s="84" t="n"/>
      <c r="H18" s="84" t="n"/>
      <c r="I18" s="84" t="n"/>
      <c r="J18" s="84" t="n"/>
      <c r="K18" s="84" t="n"/>
      <c r="L18" s="88" t="n"/>
      <c r="M18" s="89" t="n"/>
      <c r="N18" s="87" t="n"/>
      <c r="O18" s="87" t="n"/>
      <c r="P18" s="87" t="n"/>
      <c r="Q18" s="87" t="n"/>
      <c r="R18" s="87" t="n"/>
      <c r="S18" s="87" t="n"/>
    </row>
    <row r="19" ht="18.5" customHeight="1" s="33">
      <c r="A19" s="84" t="n"/>
      <c r="B19" s="84" t="n"/>
      <c r="C19" s="84" t="n"/>
      <c r="D19" s="84" t="n"/>
      <c r="E19" s="84" t="n"/>
      <c r="F19" s="84" t="n"/>
      <c r="G19" s="84" t="n"/>
      <c r="H19" s="84" t="n"/>
      <c r="I19" s="84" t="n"/>
      <c r="J19" s="84" t="n"/>
      <c r="K19" s="84" t="n"/>
      <c r="L19" s="88" t="n"/>
      <c r="M19" s="89" t="n"/>
      <c r="N19" s="87" t="n"/>
      <c r="O19" s="87" t="n"/>
      <c r="P19" s="87" t="n"/>
      <c r="Q19" s="87" t="n"/>
      <c r="R19" s="87" t="n"/>
      <c r="S19" s="87" t="n"/>
    </row>
    <row r="20" ht="18.5" customHeight="1" s="33">
      <c r="A20" s="84" t="n"/>
      <c r="B20" s="84" t="n"/>
      <c r="C20" s="84" t="n"/>
      <c r="D20" s="84" t="n"/>
      <c r="E20" s="84" t="n"/>
      <c r="F20" s="84" t="n"/>
      <c r="G20" s="84" t="n"/>
      <c r="H20" s="84" t="n"/>
      <c r="I20" s="84" t="n"/>
      <c r="J20" s="84" t="n"/>
      <c r="K20" s="84" t="n"/>
      <c r="L20" s="88" t="n"/>
      <c r="M20" s="89" t="n"/>
      <c r="N20" s="87" t="n"/>
      <c r="O20" s="87" t="n"/>
      <c r="P20" s="87" t="n"/>
      <c r="Q20" s="87" t="n"/>
      <c r="R20" s="87" t="n"/>
      <c r="S20" s="87" t="n"/>
    </row>
    <row r="21" ht="18.5" customHeight="1" s="33">
      <c r="A21" s="84" t="n"/>
      <c r="B21" s="84" t="n"/>
      <c r="C21" s="84" t="n"/>
      <c r="D21" s="84" t="n"/>
      <c r="E21" s="84" t="n"/>
      <c r="F21" s="84" t="n"/>
      <c r="G21" s="84" t="n"/>
      <c r="H21" s="84" t="n"/>
      <c r="I21" s="84" t="n"/>
      <c r="J21" s="84" t="n"/>
      <c r="K21" s="84" t="n"/>
      <c r="L21" s="88" t="n"/>
      <c r="M21" s="89" t="n"/>
      <c r="N21" s="87" t="n"/>
      <c r="O21" s="87" t="n"/>
      <c r="P21" s="87" t="n"/>
      <c r="Q21" s="87" t="n"/>
      <c r="R21" s="87" t="n"/>
      <c r="S21" s="87" t="n"/>
    </row>
    <row r="22" ht="18.5" customHeight="1" s="33">
      <c r="A22" s="84" t="n"/>
      <c r="B22" s="84" t="n"/>
      <c r="C22" s="84" t="n"/>
      <c r="D22" s="84" t="n"/>
      <c r="E22" s="84" t="n"/>
      <c r="F22" s="84" t="n"/>
      <c r="G22" s="84" t="n"/>
      <c r="H22" s="84" t="n"/>
      <c r="I22" s="84" t="n"/>
      <c r="J22" s="84" t="n"/>
      <c r="K22" s="84" t="n"/>
      <c r="L22" s="88" t="n"/>
      <c r="M22" s="89" t="n"/>
      <c r="N22" s="87" t="n"/>
      <c r="O22" s="87" t="n"/>
      <c r="P22" s="87" t="n"/>
      <c r="Q22" s="87" t="n"/>
      <c r="R22" s="87" t="n"/>
      <c r="S22" s="87" t="n"/>
    </row>
    <row r="23" ht="18.5" customHeight="1" s="33">
      <c r="A23" s="84" t="n"/>
      <c r="B23" s="84" t="n"/>
      <c r="C23" s="84" t="n"/>
      <c r="D23" s="84" t="n"/>
      <c r="E23" s="84" t="n"/>
      <c r="F23" s="84" t="n"/>
      <c r="G23" s="84" t="n"/>
      <c r="H23" s="84" t="n"/>
      <c r="I23" s="84" t="n"/>
      <c r="J23" s="84" t="n"/>
      <c r="K23" s="84" t="n"/>
      <c r="L23" s="88" t="n"/>
      <c r="M23" s="89" t="n"/>
      <c r="N23" s="87" t="n"/>
      <c r="O23" s="87" t="n"/>
      <c r="P23" s="87" t="n"/>
      <c r="Q23" s="87" t="n"/>
      <c r="R23" s="87" t="n"/>
      <c r="S23" s="87" t="n"/>
    </row>
    <row r="24" ht="18.5" customHeight="1" s="33">
      <c r="A24" s="84" t="n"/>
      <c r="B24" s="84" t="n"/>
      <c r="C24" s="84" t="n"/>
      <c r="D24" s="84" t="n"/>
      <c r="E24" s="84" t="n"/>
      <c r="F24" s="84" t="n"/>
      <c r="G24" s="84" t="n"/>
      <c r="H24" s="84" t="n"/>
      <c r="I24" s="84" t="n"/>
      <c r="J24" s="84" t="n"/>
      <c r="K24" s="84" t="n"/>
      <c r="L24" s="88" t="n"/>
      <c r="M24" s="89" t="n"/>
      <c r="N24" s="87" t="n"/>
      <c r="O24" s="87" t="n"/>
      <c r="P24" s="87" t="n"/>
      <c r="Q24" s="87" t="n"/>
      <c r="R24" s="87" t="n"/>
      <c r="S24" s="87" t="n"/>
    </row>
    <row r="25" ht="18.5" customHeight="1" s="33">
      <c r="A25" s="84" t="n"/>
      <c r="B25" s="84" t="n"/>
      <c r="C25" s="84" t="n"/>
      <c r="D25" s="84" t="n"/>
      <c r="E25" s="84" t="n"/>
      <c r="F25" s="84" t="n"/>
      <c r="G25" s="84" t="n"/>
      <c r="H25" s="84" t="n"/>
      <c r="I25" s="84" t="n"/>
      <c r="J25" s="84" t="n"/>
      <c r="K25" s="84" t="n"/>
      <c r="L25" s="88" t="n"/>
      <c r="M25" s="89" t="n"/>
      <c r="N25" s="87" t="n"/>
      <c r="O25" s="87" t="n"/>
      <c r="P25" s="87" t="n"/>
      <c r="Q25" s="87" t="n"/>
      <c r="R25" s="87" t="n"/>
      <c r="S25" s="87" t="n"/>
    </row>
    <row r="26" ht="18.5" customHeight="1" s="33">
      <c r="A26" s="84" t="n"/>
      <c r="B26" s="84" t="n"/>
      <c r="C26" s="84" t="n"/>
      <c r="D26" s="84" t="n"/>
      <c r="E26" s="84" t="n"/>
      <c r="F26" s="84" t="n"/>
      <c r="G26" s="84" t="n"/>
      <c r="H26" s="84" t="n"/>
      <c r="I26" s="84" t="n"/>
      <c r="J26" s="84" t="n"/>
      <c r="K26" s="84" t="n"/>
      <c r="L26" s="88" t="n"/>
      <c r="M26" s="89" t="n"/>
      <c r="N26" s="87" t="n"/>
      <c r="O26" s="87" t="n"/>
      <c r="P26" s="87" t="n"/>
      <c r="Q26" s="87" t="n"/>
      <c r="R26" s="87" t="n"/>
      <c r="S26" s="87" t="n"/>
    </row>
    <row r="27" ht="18.5" customHeight="1" s="33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8" t="n"/>
      <c r="M27" s="90" t="n"/>
      <c r="N27" s="87" t="n"/>
      <c r="O27" s="87" t="n"/>
      <c r="P27" s="87" t="n"/>
      <c r="Q27" s="87" t="n"/>
      <c r="R27" s="87" t="n"/>
      <c r="S27" s="87" t="n"/>
    </row>
    <row r="28" ht="18.5" customHeight="1" s="33">
      <c r="A28" s="84" t="n"/>
      <c r="B28" s="84" t="n"/>
      <c r="C28" s="84" t="n"/>
      <c r="D28" s="84" t="n"/>
      <c r="E28" s="84" t="n"/>
      <c r="F28" s="84" t="n"/>
      <c r="G28" s="84" t="n"/>
      <c r="H28" s="84" t="n"/>
      <c r="I28" s="84" t="n"/>
      <c r="J28" s="84" t="n"/>
      <c r="K28" s="84" t="n"/>
      <c r="L28" s="88" t="n"/>
      <c r="M28" s="89" t="n"/>
      <c r="N28" s="87" t="n"/>
      <c r="O28" s="87" t="n"/>
      <c r="P28" s="87" t="n"/>
      <c r="Q28" s="87" t="n"/>
      <c r="R28" s="87" t="n"/>
      <c r="S28" s="87" t="n"/>
    </row>
    <row r="29" ht="18.5" customHeight="1" s="33">
      <c r="A29" s="84" t="n"/>
      <c r="B29" s="84" t="n"/>
      <c r="C29" s="84" t="n"/>
      <c r="D29" s="84" t="n"/>
      <c r="E29" s="84" t="n"/>
      <c r="F29" s="84" t="n"/>
      <c r="G29" s="84" t="n"/>
      <c r="H29" s="84" t="n"/>
      <c r="I29" s="84" t="n"/>
      <c r="J29" s="84" t="n"/>
      <c r="K29" s="84" t="n"/>
      <c r="L29" s="88" t="n"/>
      <c r="M29" s="89" t="n"/>
      <c r="N29" s="87" t="n"/>
      <c r="O29" s="87" t="n"/>
      <c r="P29" s="87" t="n"/>
      <c r="Q29" s="87" t="n"/>
      <c r="R29" s="87" t="n"/>
      <c r="S29" s="87" t="n"/>
    </row>
    <row r="30" ht="18.5" customHeight="1" s="33">
      <c r="A30" s="84" t="n"/>
      <c r="B30" s="84" t="n"/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8" t="n"/>
      <c r="M30" s="89" t="n"/>
      <c r="N30" s="87" t="n"/>
      <c r="O30" s="87" t="n"/>
      <c r="P30" s="87" t="n"/>
      <c r="Q30" s="87" t="n"/>
      <c r="R30" s="87" t="n"/>
      <c r="S30" s="87" t="n"/>
    </row>
    <row r="31" ht="18.5" customHeight="1" s="33">
      <c r="A31" s="84" t="n"/>
      <c r="B31" s="84" t="n"/>
      <c r="C31" s="84" t="n"/>
      <c r="D31" s="84" t="n"/>
      <c r="E31" s="84" t="n"/>
      <c r="F31" s="84" t="n"/>
      <c r="G31" s="84" t="n"/>
      <c r="H31" s="84" t="n"/>
      <c r="I31" s="84" t="n"/>
      <c r="J31" s="84" t="n"/>
      <c r="K31" s="84" t="n"/>
      <c r="L31" s="84" t="n"/>
      <c r="M31" s="84" t="n"/>
      <c r="N31" s="84" t="n"/>
      <c r="O31" s="84" t="n"/>
      <c r="P31" s="84" t="n"/>
      <c r="Q31" s="84" t="n"/>
      <c r="R31" s="84" t="n"/>
      <c r="S31" s="84" t="n"/>
    </row>
    <row r="32" ht="18.5" customHeight="1" s="33">
      <c r="A32" s="84" t="n"/>
      <c r="B32" s="84" t="n"/>
      <c r="C32" s="84" t="n"/>
      <c r="D32" s="84" t="n"/>
      <c r="E32" s="84" t="n"/>
      <c r="F32" s="84" t="n"/>
      <c r="G32" s="84" t="n"/>
      <c r="H32" s="84" t="n"/>
      <c r="I32" s="84" t="n"/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n"/>
      <c r="S32" s="84" t="n"/>
    </row>
    <row r="33" ht="18.5" customHeight="1" s="33">
      <c r="A33" s="84" t="n"/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4" t="n"/>
      <c r="L33" s="84" t="n"/>
      <c r="M33" s="84" t="n"/>
      <c r="N33" s="84" t="n"/>
      <c r="O33" s="84" t="n"/>
      <c r="P33" s="84" t="n"/>
      <c r="Q33" s="84" t="n"/>
      <c r="R33" s="84" t="n"/>
      <c r="S33" s="84" t="n"/>
    </row>
    <row r="34" ht="18.5" customHeight="1" s="33">
      <c r="A34" s="84" t="n"/>
      <c r="B34" s="84" t="n"/>
      <c r="C34" s="84" t="n"/>
      <c r="D34" s="84" t="n"/>
      <c r="E34" s="84" t="n"/>
      <c r="F34" s="84" t="n"/>
      <c r="G34" s="84" t="n"/>
      <c r="H34" s="84" t="n"/>
      <c r="I34" s="84" t="n"/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n"/>
      <c r="S34" s="84" t="n"/>
    </row>
    <row r="35" ht="18.5" customHeight="1" s="33">
      <c r="A35" s="84" t="n"/>
      <c r="B35" s="84" t="n"/>
      <c r="C35" s="84" t="n"/>
      <c r="D35" s="84" t="n"/>
      <c r="E35" s="84" t="n"/>
      <c r="F35" s="84" t="n"/>
      <c r="G35" s="84" t="n"/>
      <c r="H35" s="84" t="n"/>
      <c r="I35" s="84" t="n"/>
      <c r="J35" s="84" t="n"/>
      <c r="K35" s="84" t="n"/>
      <c r="L35" s="84" t="n"/>
      <c r="M35" s="84" t="n"/>
      <c r="N35" s="84" t="n"/>
      <c r="O35" s="84" t="n"/>
      <c r="P35" s="84" t="n"/>
      <c r="Q35" s="84" t="n"/>
      <c r="R35" s="84" t="n"/>
      <c r="S35" s="84" t="n"/>
    </row>
    <row r="36" ht="18.5" customHeight="1" s="33">
      <c r="A36" s="84" t="n"/>
      <c r="B36" s="84" t="n"/>
      <c r="C36" s="84" t="n"/>
      <c r="D36" s="84" t="n"/>
      <c r="E36" s="84" t="n"/>
      <c r="F36" s="84" t="n"/>
      <c r="G36" s="84" t="n"/>
      <c r="H36" s="84" t="n"/>
      <c r="I36" s="84" t="n"/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n"/>
      <c r="S36" s="84" t="n"/>
    </row>
    <row r="37" ht="18.5" customHeight="1" s="33">
      <c r="A37" s="84" t="n"/>
      <c r="B37" s="84" t="n"/>
      <c r="C37" s="84" t="n"/>
      <c r="D37" s="84" t="n"/>
      <c r="E37" s="84" t="n"/>
      <c r="F37" s="84" t="n"/>
      <c r="G37" s="84" t="n"/>
      <c r="H37" s="84" t="n"/>
      <c r="I37" s="84" t="n"/>
      <c r="J37" s="84" t="n"/>
      <c r="K37" s="84" t="n"/>
      <c r="L37" s="84" t="n"/>
      <c r="M37" s="84" t="n"/>
      <c r="N37" s="84" t="n"/>
      <c r="O37" s="84" t="n"/>
      <c r="P37" s="84" t="n"/>
      <c r="Q37" s="84" t="n"/>
      <c r="R37" s="84" t="n"/>
      <c r="S37" s="84" t="n"/>
    </row>
    <row r="38" ht="18.5" customHeight="1" s="33">
      <c r="A38" s="84" t="n"/>
      <c r="B38" s="84" t="n"/>
      <c r="C38" s="84" t="n"/>
      <c r="D38" s="84" t="n"/>
      <c r="E38" s="84" t="n"/>
      <c r="F38" s="84" t="n"/>
      <c r="G38" s="84" t="n"/>
      <c r="H38" s="84" t="n"/>
      <c r="I38" s="84" t="n"/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n"/>
      <c r="S38" s="84" t="n"/>
    </row>
    <row r="39" ht="18.5" customHeight="1" s="33">
      <c r="A39" s="84" t="n"/>
      <c r="B39" s="84" t="n"/>
      <c r="C39" s="84" t="n"/>
      <c r="D39" s="84" t="n"/>
      <c r="E39" s="84" t="n"/>
      <c r="F39" s="84" t="n"/>
      <c r="G39" s="84" t="n"/>
      <c r="H39" s="84" t="n"/>
      <c r="I39" s="84" t="n"/>
      <c r="J39" s="84" t="n"/>
      <c r="K39" s="84" t="n"/>
      <c r="L39" s="84" t="n"/>
      <c r="M39" s="84" t="n"/>
      <c r="N39" s="84" t="n"/>
      <c r="O39" s="84" t="n"/>
      <c r="P39" s="84" t="n"/>
      <c r="Q39" s="84" t="n"/>
      <c r="R39" s="84" t="n"/>
      <c r="S39" s="84" t="n"/>
    </row>
    <row r="40" ht="18.5" customHeight="1" s="33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</row>
    <row r="41" ht="18.5" customHeight="1" s="33">
      <c r="A41" s="84" t="n"/>
      <c r="B41" s="84" t="n"/>
      <c r="C41" s="84" t="n"/>
      <c r="D41" s="84" t="n"/>
      <c r="E41" s="84" t="n"/>
      <c r="F41" s="84" t="n"/>
      <c r="G41" s="84" t="n"/>
      <c r="H41" s="84" t="n"/>
      <c r="I41" s="84" t="n"/>
      <c r="J41" s="84" t="n"/>
      <c r="K41" s="84" t="n"/>
      <c r="L41" s="84" t="n"/>
      <c r="M41" s="84" t="n"/>
      <c r="N41" s="84" t="n"/>
      <c r="O41" s="84" t="n"/>
      <c r="P41" s="84" t="n"/>
      <c r="Q41" s="84" t="n"/>
      <c r="R41" s="84" t="n"/>
      <c r="S41" s="84" t="n"/>
    </row>
    <row r="42" ht="18.5" customHeight="1" s="33">
      <c r="A42" s="84" t="n"/>
      <c r="B42" s="84" t="n"/>
      <c r="C42" s="84" t="n"/>
      <c r="D42" s="84" t="n"/>
      <c r="E42" s="84" t="n"/>
      <c r="F42" s="84" t="n"/>
      <c r="G42" s="84" t="n"/>
      <c r="H42" s="84" t="n"/>
      <c r="I42" s="84" t="n"/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n"/>
      <c r="S42" s="84" t="n"/>
    </row>
    <row r="43" ht="18.5" customHeight="1" s="33">
      <c r="A43" s="84" t="n"/>
      <c r="B43" s="84" t="n"/>
      <c r="C43" s="84" t="n"/>
      <c r="D43" s="84" t="n"/>
      <c r="E43" s="84" t="n"/>
      <c r="F43" s="84" t="n"/>
      <c r="G43" s="84" t="n"/>
      <c r="H43" s="84" t="n"/>
      <c r="I43" s="84" t="n"/>
      <c r="J43" s="84" t="n"/>
      <c r="K43" s="84" t="n"/>
      <c r="L43" s="84" t="n"/>
      <c r="M43" s="84" t="n"/>
      <c r="N43" s="84" t="n"/>
      <c r="O43" s="84" t="n"/>
      <c r="P43" s="84" t="n"/>
      <c r="Q43" s="84" t="n"/>
      <c r="R43" s="84" t="n"/>
      <c r="S43" s="84" t="n"/>
    </row>
    <row r="44" ht="18.5" customHeight="1" s="33">
      <c r="A44" s="84" t="n"/>
      <c r="B44" s="84" t="n"/>
      <c r="C44" s="84" t="n"/>
      <c r="D44" s="84" t="n"/>
      <c r="E44" s="84" t="n"/>
      <c r="F44" s="84" t="n"/>
      <c r="G44" s="84" t="n"/>
      <c r="H44" s="84" t="n"/>
      <c r="I44" s="84" t="n"/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n"/>
      <c r="S44" s="84" t="n"/>
    </row>
    <row r="45" ht="18.5" customHeight="1" s="33">
      <c r="A45" s="84" t="n"/>
      <c r="B45" s="84" t="n"/>
      <c r="C45" s="84" t="n"/>
      <c r="D45" s="84" t="n"/>
      <c r="E45" s="84" t="n"/>
      <c r="F45" s="84" t="n"/>
      <c r="G45" s="84" t="n"/>
      <c r="H45" s="84" t="n"/>
      <c r="I45" s="84" t="n"/>
      <c r="J45" s="84" t="n"/>
      <c r="K45" s="84" t="n"/>
      <c r="L45" s="84" t="n"/>
      <c r="M45" s="84" t="n"/>
      <c r="N45" s="84" t="n"/>
      <c r="O45" s="84" t="n"/>
      <c r="P45" s="84" t="n"/>
      <c r="Q45" s="84" t="n"/>
      <c r="R45" s="84" t="n"/>
      <c r="S45" s="84" t="n"/>
    </row>
    <row r="46" ht="18.5" customHeight="1" s="33">
      <c r="A46" s="84" t="n"/>
      <c r="B46" s="84" t="n"/>
      <c r="C46" s="84" t="n"/>
      <c r="D46" s="84" t="n"/>
      <c r="E46" s="84" t="n"/>
      <c r="F46" s="84" t="n"/>
      <c r="G46" s="84" t="n"/>
      <c r="H46" s="84" t="n"/>
      <c r="I46" s="84" t="n"/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n"/>
      <c r="S46" s="84" t="n"/>
    </row>
    <row r="47" ht="18.5" customHeight="1" s="33">
      <c r="A47" s="84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  <c r="L47" s="84" t="n"/>
      <c r="M47" s="84" t="n"/>
      <c r="N47" s="84" t="n"/>
      <c r="O47" s="84" t="n"/>
      <c r="P47" s="84" t="n"/>
      <c r="Q47" s="84" t="n"/>
      <c r="R47" s="84" t="n"/>
      <c r="S47" s="84" t="n"/>
    </row>
    <row r="48" ht="18.5" customHeight="1" s="33">
      <c r="A48" s="84" t="n"/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n"/>
      <c r="S48" s="84" t="n"/>
    </row>
    <row r="49" ht="18.5" customHeight="1" s="33">
      <c r="A49" s="84" t="n"/>
      <c r="B49" s="84" t="n"/>
      <c r="C49" s="84" t="n"/>
      <c r="D49" s="84" t="n"/>
      <c r="E49" s="84" t="n"/>
      <c r="F49" s="84" t="n"/>
      <c r="G49" s="84" t="n"/>
      <c r="H49" s="84" t="n"/>
      <c r="I49" s="84" t="n"/>
      <c r="J49" s="84" t="n"/>
      <c r="K49" s="84" t="n"/>
      <c r="L49" s="84" t="n"/>
      <c r="M49" s="84" t="n"/>
      <c r="N49" s="84" t="n"/>
      <c r="O49" s="84" t="n"/>
      <c r="P49" s="84" t="n"/>
      <c r="Q49" s="84" t="n"/>
      <c r="R49" s="84" t="n"/>
      <c r="S49" s="84" t="n"/>
    </row>
    <row r="50" ht="18.5" customHeight="1" s="33">
      <c r="A50" s="84" t="n"/>
      <c r="B50" s="84" t="n"/>
      <c r="C50" s="84" t="n"/>
      <c r="D50" s="84" t="n"/>
      <c r="E50" s="84" t="n"/>
      <c r="F50" s="84" t="n"/>
      <c r="G50" s="84" t="n"/>
      <c r="H50" s="84" t="n"/>
      <c r="I50" s="84" t="n"/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n"/>
      <c r="S50" s="84" t="n"/>
    </row>
    <row r="51" ht="18.5" customHeight="1" s="33">
      <c r="A51" s="84" t="n"/>
      <c r="B51" s="84" t="n"/>
      <c r="C51" s="84" t="n"/>
      <c r="D51" s="84" t="n"/>
      <c r="E51" s="84" t="n"/>
      <c r="F51" s="84" t="n"/>
      <c r="G51" s="84" t="n"/>
      <c r="H51" s="84" t="n"/>
      <c r="I51" s="84" t="n"/>
      <c r="J51" s="84" t="n"/>
      <c r="K51" s="84" t="n"/>
      <c r="L51" s="84" t="n"/>
      <c r="M51" s="84" t="n"/>
      <c r="N51" s="84" t="n"/>
      <c r="O51" s="84" t="n"/>
      <c r="P51" s="84" t="n"/>
      <c r="Q51" s="84" t="n"/>
      <c r="R51" s="84" t="n"/>
      <c r="S51" s="84" t="n"/>
    </row>
    <row r="52" ht="18.5" customHeight="1" s="33">
      <c r="A52" s="84" t="n"/>
      <c r="B52" s="84" t="n"/>
      <c r="C52" s="84" t="n"/>
      <c r="D52" s="84" t="n"/>
      <c r="E52" s="84" t="n"/>
      <c r="F52" s="84" t="n"/>
      <c r="G52" s="84" t="n"/>
      <c r="H52" s="84" t="n"/>
      <c r="I52" s="84" t="n"/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n"/>
      <c r="S52" s="84" t="n"/>
    </row>
    <row r="53" ht="18.5" customHeight="1" s="33">
      <c r="A53" s="84" t="n"/>
      <c r="B53" s="84" t="n"/>
      <c r="C53" s="84" t="n"/>
      <c r="D53" s="84" t="n"/>
      <c r="E53" s="84" t="n"/>
      <c r="F53" s="84" t="n"/>
      <c r="G53" s="84" t="n"/>
      <c r="H53" s="84" t="n"/>
      <c r="I53" s="84" t="n"/>
      <c r="J53" s="84" t="n"/>
      <c r="K53" s="84" t="n"/>
      <c r="L53" s="84" t="n"/>
      <c r="M53" s="84" t="n"/>
      <c r="N53" s="84" t="n"/>
      <c r="O53" s="84" t="n"/>
      <c r="P53" s="84" t="n"/>
      <c r="Q53" s="84" t="n"/>
      <c r="R53" s="84" t="n"/>
      <c r="S53" s="84" t="n"/>
    </row>
    <row r="54" ht="18.5" customHeight="1" s="33">
      <c r="A54" s="84" t="n"/>
      <c r="B54" s="84" t="n"/>
      <c r="C54" s="84" t="n"/>
      <c r="D54" s="84" t="n"/>
      <c r="E54" s="84" t="n"/>
      <c r="F54" s="84" t="n"/>
      <c r="G54" s="84" t="n"/>
      <c r="H54" s="84" t="n"/>
      <c r="I54" s="84" t="n"/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n"/>
      <c r="S54" s="84" t="n"/>
    </row>
    <row r="55" ht="18.5" customHeight="1" s="33">
      <c r="A55" s="84" t="n"/>
      <c r="B55" s="84" t="n"/>
      <c r="C55" s="84" t="n"/>
      <c r="D55" s="84" t="n"/>
      <c r="E55" s="84" t="n"/>
      <c r="F55" s="84" t="n"/>
      <c r="G55" s="84" t="n"/>
      <c r="H55" s="84" t="n"/>
      <c r="I55" s="84" t="n"/>
      <c r="J55" s="84" t="n"/>
      <c r="K55" s="84" t="n"/>
      <c r="L55" s="84" t="n"/>
      <c r="M55" s="84" t="n"/>
      <c r="N55" s="84" t="n"/>
      <c r="O55" s="84" t="n"/>
      <c r="P55" s="84" t="n"/>
      <c r="Q55" s="84" t="n"/>
      <c r="R55" s="84" t="n"/>
      <c r="S55" s="84" t="n"/>
    </row>
    <row r="56" ht="18.5" customHeight="1" s="33">
      <c r="A56" s="84" t="n"/>
      <c r="B56" s="84" t="n"/>
      <c r="C56" s="84" t="n"/>
      <c r="D56" s="84" t="n"/>
      <c r="E56" s="84" t="n"/>
      <c r="F56" s="84" t="n"/>
      <c r="G56" s="84" t="n"/>
      <c r="H56" s="84" t="n"/>
      <c r="I56" s="84" t="n"/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n"/>
      <c r="S56" s="84" t="n"/>
    </row>
    <row r="57" ht="18.5" customHeight="1" s="33">
      <c r="A57" s="84" t="n"/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4" t="n"/>
      <c r="L57" s="84" t="n"/>
      <c r="M57" s="84" t="n"/>
      <c r="N57" s="84" t="n"/>
      <c r="O57" s="84" t="n"/>
      <c r="P57" s="84" t="n"/>
      <c r="Q57" s="84" t="n"/>
      <c r="R57" s="84" t="n"/>
      <c r="S57" s="84" t="n"/>
    </row>
    <row r="58" ht="18.5" customHeight="1" s="33">
      <c r="A58" s="84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n"/>
      <c r="S58" s="84" t="n"/>
    </row>
    <row r="59" ht="18.5" customHeight="1" s="33">
      <c r="A59" s="84" t="n"/>
      <c r="B59" s="84" t="n"/>
      <c r="C59" s="84" t="n"/>
      <c r="D59" s="84" t="n"/>
      <c r="E59" s="84" t="n"/>
      <c r="F59" s="84" t="n"/>
      <c r="G59" s="84" t="n"/>
      <c r="H59" s="84" t="n"/>
      <c r="I59" s="84" t="n"/>
      <c r="J59" s="84" t="n"/>
      <c r="K59" s="84" t="n"/>
      <c r="L59" s="84" t="n"/>
      <c r="M59" s="84" t="n"/>
      <c r="N59" s="84" t="n"/>
      <c r="O59" s="84" t="n"/>
      <c r="P59" s="84" t="n"/>
      <c r="Q59" s="84" t="n"/>
      <c r="R59" s="84" t="n"/>
      <c r="S59" s="84" t="n"/>
    </row>
    <row r="60" ht="18.5" customHeight="1" s="33">
      <c r="A60" s="84" t="n"/>
      <c r="B60" s="84" t="n"/>
      <c r="C60" s="84" t="n"/>
      <c r="D60" s="84" t="n"/>
      <c r="E60" s="84" t="n"/>
      <c r="F60" s="84" t="n"/>
      <c r="G60" s="84" t="n"/>
      <c r="H60" s="84" t="n"/>
      <c r="I60" s="84" t="n"/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n"/>
      <c r="S60" s="84" t="n"/>
    </row>
    <row r="61" ht="18.5" customHeight="1" s="33">
      <c r="A61" s="84" t="n"/>
      <c r="B61" s="84" t="n"/>
      <c r="C61" s="84" t="n"/>
      <c r="D61" s="84" t="n"/>
      <c r="E61" s="84" t="n"/>
      <c r="F61" s="84" t="n"/>
      <c r="G61" s="84" t="n"/>
      <c r="H61" s="84" t="n"/>
      <c r="I61" s="84" t="n"/>
      <c r="J61" s="84" t="n"/>
      <c r="K61" s="84" t="n"/>
      <c r="L61" s="84" t="n"/>
      <c r="M61" s="84" t="n"/>
      <c r="N61" s="84" t="n"/>
      <c r="O61" s="84" t="n"/>
      <c r="P61" s="84" t="n"/>
      <c r="Q61" s="84" t="n"/>
      <c r="R61" s="84" t="n"/>
      <c r="S61" s="84" t="n"/>
    </row>
    <row r="62" ht="18.5" customHeight="1" s="33">
      <c r="A62" s="84" t="n"/>
      <c r="B62" s="84" t="n"/>
      <c r="C62" s="84" t="n"/>
      <c r="D62" s="84" t="n"/>
      <c r="E62" s="84" t="n"/>
      <c r="F62" s="84" t="n"/>
      <c r="G62" s="84" t="n"/>
      <c r="H62" s="84" t="n"/>
      <c r="I62" s="84" t="n"/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n"/>
      <c r="S62" s="84" t="n"/>
    </row>
    <row r="63" ht="18.5" customHeight="1" s="33">
      <c r="A63" s="84" t="n"/>
      <c r="B63" s="84" t="n"/>
      <c r="C63" s="84" t="n"/>
      <c r="D63" s="84" t="n"/>
      <c r="E63" s="84" t="n"/>
      <c r="F63" s="84" t="n"/>
      <c r="G63" s="84" t="n"/>
      <c r="H63" s="84" t="n"/>
      <c r="I63" s="84" t="n"/>
      <c r="J63" s="84" t="n"/>
      <c r="K63" s="84" t="n"/>
      <c r="L63" s="84" t="n"/>
      <c r="M63" s="84" t="n"/>
      <c r="N63" s="84" t="n"/>
      <c r="O63" s="84" t="n"/>
      <c r="P63" s="84" t="n"/>
      <c r="Q63" s="84" t="n"/>
      <c r="R63" s="84" t="n"/>
      <c r="S63" s="84" t="n"/>
    </row>
    <row r="64" ht="18.5" customHeight="1" s="33">
      <c r="A64" s="84" t="n"/>
      <c r="B64" s="84" t="n"/>
      <c r="C64" s="84" t="n"/>
      <c r="D64" s="84" t="n"/>
      <c r="E64" s="84" t="n"/>
      <c r="F64" s="84" t="n"/>
      <c r="G64" s="84" t="n"/>
      <c r="H64" s="84" t="n"/>
      <c r="I64" s="84" t="n"/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n"/>
      <c r="S64" s="84" t="n"/>
    </row>
    <row r="65" ht="18.5" customHeight="1" s="33">
      <c r="A65" s="84" t="n"/>
      <c r="B65" s="84" t="n"/>
      <c r="C65" s="84" t="n"/>
      <c r="D65" s="84" t="n"/>
      <c r="E65" s="84" t="n"/>
      <c r="F65" s="84" t="n"/>
      <c r="G65" s="84" t="n"/>
      <c r="H65" s="84" t="n"/>
      <c r="I65" s="84" t="n"/>
      <c r="J65" s="84" t="n"/>
      <c r="K65" s="84" t="n"/>
      <c r="L65" s="84" t="n"/>
      <c r="M65" s="84" t="n"/>
      <c r="N65" s="84" t="n"/>
      <c r="O65" s="84" t="n"/>
      <c r="P65" s="84" t="n"/>
      <c r="Q65" s="84" t="n"/>
      <c r="R65" s="84" t="n"/>
      <c r="S65" s="84" t="n"/>
    </row>
    <row r="66" ht="18.5" customHeight="1" s="33">
      <c r="A66" s="84" t="n"/>
      <c r="B66" s="84" t="n"/>
      <c r="C66" s="84" t="n"/>
      <c r="D66" s="84" t="n"/>
      <c r="E66" s="84" t="n"/>
      <c r="F66" s="84" t="n"/>
      <c r="G66" s="84" t="n"/>
      <c r="H66" s="84" t="n"/>
      <c r="I66" s="84" t="n"/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n"/>
      <c r="S66" s="84" t="n"/>
    </row>
    <row r="67" ht="18.5" customHeight="1" s="33">
      <c r="A67" s="84" t="n"/>
      <c r="B67" s="84" t="n"/>
      <c r="C67" s="84" t="n"/>
      <c r="D67" s="84" t="n"/>
      <c r="E67" s="84" t="n"/>
      <c r="F67" s="84" t="n"/>
      <c r="G67" s="84" t="n"/>
      <c r="H67" s="84" t="n"/>
      <c r="I67" s="84" t="n"/>
      <c r="J67" s="84" t="n"/>
      <c r="K67" s="84" t="n"/>
      <c r="L67" s="84" t="n"/>
      <c r="M67" s="84" t="n"/>
      <c r="N67" s="84" t="n"/>
      <c r="O67" s="84" t="n"/>
      <c r="P67" s="84" t="n"/>
      <c r="Q67" s="84" t="n"/>
      <c r="R67" s="84" t="n"/>
      <c r="S67" s="84" t="n"/>
    </row>
    <row r="68" ht="18.5" customHeight="1" s="33">
      <c r="A68" s="84" t="n"/>
      <c r="B68" s="84" t="n"/>
      <c r="C68" s="84" t="n"/>
      <c r="D68" s="84" t="n"/>
      <c r="E68" s="84" t="n"/>
      <c r="F68" s="84" t="n"/>
      <c r="G68" s="84" t="n"/>
      <c r="H68" s="84" t="n"/>
      <c r="I68" s="84" t="n"/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n"/>
      <c r="S68" s="84" t="n"/>
    </row>
    <row r="69" ht="18.5" customHeight="1" s="33">
      <c r="A69" s="84" t="n"/>
      <c r="B69" s="84" t="n"/>
      <c r="C69" s="84" t="n"/>
      <c r="D69" s="84" t="n"/>
      <c r="E69" s="84" t="n"/>
      <c r="F69" s="84" t="n"/>
      <c r="G69" s="84" t="n"/>
      <c r="H69" s="84" t="n"/>
      <c r="I69" s="84" t="n"/>
      <c r="J69" s="84" t="n"/>
      <c r="K69" s="84" t="n"/>
      <c r="L69" s="84" t="n"/>
      <c r="M69" s="84" t="n"/>
      <c r="N69" s="84" t="n"/>
      <c r="O69" s="84" t="n"/>
      <c r="P69" s="84" t="n"/>
      <c r="Q69" s="84" t="n"/>
      <c r="R69" s="84" t="n"/>
      <c r="S69" s="84" t="n"/>
    </row>
    <row r="70" ht="18.5" customHeight="1" s="33">
      <c r="A70" s="84" t="n"/>
      <c r="B70" s="84" t="n"/>
      <c r="C70" s="84" t="n"/>
      <c r="D70" s="84" t="n"/>
      <c r="E70" s="84" t="n"/>
      <c r="F70" s="84" t="n"/>
      <c r="G70" s="84" t="n"/>
      <c r="H70" s="84" t="n"/>
      <c r="I70" s="84" t="n"/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n"/>
      <c r="S70" s="84" t="n"/>
    </row>
    <row r="71" ht="18.5" customHeight="1" s="33">
      <c r="A71" s="84" t="n"/>
      <c r="B71" s="84" t="n"/>
      <c r="C71" s="84" t="n"/>
      <c r="D71" s="84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84" t="n"/>
      <c r="N71" s="84" t="n"/>
      <c r="O71" s="84" t="n"/>
      <c r="P71" s="84" t="n"/>
      <c r="Q71" s="84" t="n"/>
      <c r="R71" s="84" t="n"/>
      <c r="S71" s="84" t="n"/>
    </row>
    <row r="72" ht="18.5" customHeight="1" s="33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n"/>
      <c r="S72" s="84" t="n"/>
    </row>
    <row r="73" ht="18.5" customHeight="1" s="3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84" t="n"/>
      <c r="N73" s="84" t="n"/>
      <c r="O73" s="84" t="n"/>
      <c r="P73" s="84" t="n"/>
      <c r="Q73" s="84" t="n"/>
      <c r="R73" s="84" t="n"/>
      <c r="S73" s="84" t="n"/>
    </row>
    <row r="74" ht="18.5" customHeight="1" s="33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n"/>
      <c r="S74" s="84" t="n"/>
    </row>
    <row r="75" ht="18.5" customHeight="1" s="33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84" t="n"/>
      <c r="N75" s="84" t="n"/>
      <c r="O75" s="84" t="n"/>
      <c r="P75" s="84" t="n"/>
      <c r="Q75" s="84" t="n"/>
      <c r="R75" s="84" t="n"/>
      <c r="S75" s="84" t="n"/>
    </row>
    <row r="76" ht="18.5" customHeight="1" s="33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n"/>
      <c r="S76" s="84" t="n"/>
    </row>
    <row r="77" ht="18.5" customHeight="1" s="33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84" t="n"/>
      <c r="N77" s="84" t="n"/>
      <c r="O77" s="84" t="n"/>
      <c r="P77" s="84" t="n"/>
      <c r="Q77" s="84" t="n"/>
      <c r="R77" s="84" t="n"/>
      <c r="S77" s="84" t="n"/>
    </row>
    <row r="78" ht="18.5" customHeight="1" s="33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n"/>
      <c r="S78" s="84" t="n"/>
    </row>
    <row r="79" ht="18.5" customHeight="1" s="33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84" t="n"/>
      <c r="N79" s="84" t="n"/>
      <c r="O79" s="84" t="n"/>
      <c r="P79" s="84" t="n"/>
      <c r="Q79" s="84" t="n"/>
      <c r="R79" s="84" t="n"/>
      <c r="S79" s="84" t="n"/>
    </row>
    <row r="80" ht="18.5" customHeight="1" s="33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</row>
    <row r="81" ht="18.5" customHeight="1" s="33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84" t="n"/>
      <c r="N81" s="84" t="n"/>
      <c r="O81" s="84" t="n"/>
      <c r="P81" s="84" t="n"/>
      <c r="Q81" s="84" t="n"/>
      <c r="R81" s="84" t="n"/>
      <c r="S81" s="84" t="n"/>
    </row>
    <row r="82" ht="18.5" customHeight="1" s="33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n"/>
      <c r="S82" s="84" t="n"/>
    </row>
    <row r="83" ht="18.5" customHeight="1" s="3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84" t="n"/>
      <c r="N83" s="84" t="n"/>
      <c r="O83" s="84" t="n"/>
      <c r="P83" s="84" t="n"/>
      <c r="Q83" s="84" t="n"/>
      <c r="R83" s="84" t="n"/>
      <c r="S83" s="84" t="n"/>
    </row>
    <row r="84" ht="18.5" customHeight="1" s="33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n"/>
      <c r="S84" s="84" t="n"/>
    </row>
    <row r="85" ht="18.5" customHeight="1" s="33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84" t="n"/>
      <c r="N85" s="84" t="n"/>
      <c r="O85" s="84" t="n"/>
      <c r="P85" s="84" t="n"/>
      <c r="Q85" s="84" t="n"/>
      <c r="R85" s="84" t="n"/>
      <c r="S85" s="84" t="n"/>
    </row>
    <row r="86" ht="18.5" customHeight="1" s="33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n"/>
      <c r="S86" s="84" t="n"/>
    </row>
  </sheetData>
  <conditionalFormatting sqref="L2:M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"Aprobado"</formula>
    </cfRule>
    <cfRule type="cellIs" rank="0" priority="4" equalAverage="0" operator="equal" aboveAverage="0" dxfId="2" text="" percent="0" bottom="0">
      <formula>"Fallido"</formula>
    </cfRule>
    <cfRule type="cellIs" rank="0" priority="5" equalAverage="0" operator="equal" aboveAverage="0" dxfId="3" text="" percent="0" bottom="0">
      <formula>"Bloqueado"</formula>
    </cfRule>
  </conditionalFormatting>
  <conditionalFormatting sqref="M2:M200">
    <cfRule type="cellIs" rank="0" priority="6" equalAverage="0" operator="equal" aboveAverage="0" dxfId="4" text="" percent="0" bottom="0">
      <formula>"No aplica"</formula>
    </cfRule>
  </conditionalFormatting>
  <conditionalFormatting sqref="B2:B200">
    <cfRule type="cellIs" rank="0" priority="7" equalAverage="0" operator="equal" aboveAverage="0" dxfId="6" text="" percent="0" bottom="0">
      <formula>"Humo"</formula>
    </cfRule>
    <cfRule type="cellIs" rank="0" priority="8" equalAverage="0" operator="equal" aboveAverage="0" dxfId="7" text="" percent="0" bottom="0">
      <formula>"Reprueba"</formula>
    </cfRule>
    <cfRule type="cellIs" rank="0" priority="9" equalAverage="0" operator="equal" aboveAverage="0" dxfId="8" text="" percent="0" bottom="0">
      <formula>"Regresión"</formula>
    </cfRule>
  </conditionalFormatting>
  <dataValidations count="3">
    <dataValidation sqref="B2:B200" showDropDown="0" showInputMessage="0" showErrorMessage="0" allowBlank="1" type="list" errorStyle="stop" operator="between">
      <formula1>"Humo,Reprueba,Regresión"</formula1>
      <formula2>0</formula2>
    </dataValidation>
    <dataValidation sqref="M2:M200" showDropDown="0" showInputMessage="0" showErrorMessage="0" allowBlank="1" type="list" errorStyle="stop" operator="between">
      <formula1>"Pendiente,Aprobado,Fallido,Bloqueado,No aplica"</formula1>
      <formula2>0</formula2>
    </dataValidation>
    <dataValidation sqref="Q2:Q200" showDropDown="0" showInputMessage="0" showErrorMessage="0" allowBlank="1" type="list" errorStyle="stop" operator="between">
      <formula1>"Sprint 1"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O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9" customWidth="1" style="32" min="1" max="1"/>
    <col width="13" customWidth="1" style="32" min="2" max="2"/>
    <col width="9" customWidth="1" style="32" min="3" max="3"/>
    <col width="32" customWidth="1" style="32" min="4" max="4"/>
    <col width="40" customWidth="1" style="32" min="5" max="6"/>
    <col width="13" customWidth="1" style="33" min="6" max="6"/>
    <col width="28" customWidth="1" style="32" min="7" max="7"/>
    <col width="30" customWidth="1" style="32" min="8" max="8"/>
    <col width="38" customWidth="1" style="32" min="9" max="9"/>
    <col width="32" customWidth="1" style="32" min="10" max="10"/>
    <col width="40" customWidth="1" style="32" min="11" max="11"/>
    <col width="28" customWidth="1" style="32" min="12" max="12"/>
    <col width="42" customWidth="1" style="32" min="13" max="13"/>
    <col width="120" customWidth="1" style="33" min="15" max="15"/>
  </cols>
  <sheetData>
    <row r="1" ht="33" customHeight="1" s="33">
      <c r="A1" s="81" t="inlineStr">
        <is>
          <t>ID</t>
        </is>
      </c>
      <c r="B1" s="81" t="inlineStr">
        <is>
          <t>Tipo</t>
        </is>
      </c>
      <c r="C1" s="81" t="inlineStr">
        <is>
          <t>Historia</t>
        </is>
      </c>
      <c r="D1" s="81" t="inlineStr">
        <is>
          <t>Escenario</t>
        </is>
      </c>
      <c r="E1" s="81" t="inlineStr">
        <is>
          <t>Objetivo</t>
        </is>
      </c>
      <c r="F1" s="81" t="inlineStr">
        <is>
          <t>Carga o condición</t>
        </is>
      </c>
      <c r="G1" s="81" t="inlineStr">
        <is>
          <t>Duración</t>
        </is>
      </c>
      <c r="H1" s="81" t="inlineStr">
        <is>
          <t>Precondiciones</t>
        </is>
      </c>
      <c r="I1" s="81" t="inlineStr">
        <is>
          <t>Qué se mide</t>
        </is>
      </c>
      <c r="J1" s="81" t="inlineStr">
        <is>
          <t>Meta</t>
        </is>
      </c>
      <c r="K1" s="81" t="inlineStr">
        <is>
          <t>Referencia de la meta</t>
        </is>
      </c>
      <c r="L1" s="81" t="inlineStr">
        <is>
          <t>Herramienta</t>
        </is>
      </c>
      <c r="M1" s="81" t="inlineStr">
        <is>
          <t>Cómo se ejecuta</t>
        </is>
      </c>
      <c r="N1" s="68" t="n"/>
      <c r="O1" s="91" t="n"/>
    </row>
    <row r="2" ht="18.5" customHeight="1" s="33">
      <c r="A2" s="84" t="n"/>
      <c r="B2" s="84" t="n"/>
      <c r="C2" s="84" t="n"/>
      <c r="D2" s="84" t="n"/>
      <c r="E2" s="84" t="n"/>
      <c r="F2" s="84" t="n"/>
      <c r="G2" s="84" t="n"/>
      <c r="H2" s="84" t="n"/>
      <c r="I2" s="84" t="n"/>
      <c r="J2" s="87" t="n"/>
      <c r="K2" s="87" t="n"/>
      <c r="L2" s="84" t="n"/>
      <c r="M2" s="84" t="n"/>
      <c r="N2" s="68" t="n"/>
      <c r="O2" s="68" t="n"/>
    </row>
    <row r="3" ht="18.5" customHeight="1" s="33">
      <c r="A3" s="84" t="n"/>
      <c r="B3" s="84" t="n"/>
      <c r="C3" s="84" t="n"/>
      <c r="D3" s="84" t="n"/>
      <c r="E3" s="84" t="n"/>
      <c r="F3" s="84" t="n"/>
      <c r="G3" s="84" t="n"/>
      <c r="H3" s="84" t="n"/>
      <c r="I3" s="84" t="n"/>
      <c r="J3" s="87" t="n"/>
      <c r="K3" s="87" t="n"/>
      <c r="L3" s="84" t="n"/>
      <c r="M3" s="84" t="n"/>
      <c r="N3" s="68" t="n"/>
      <c r="O3" s="68" t="n"/>
    </row>
    <row r="4" ht="18.5" customHeight="1" s="33">
      <c r="A4" s="84" t="n"/>
      <c r="B4" s="84" t="n"/>
      <c r="C4" s="84" t="n"/>
      <c r="D4" s="84" t="n"/>
      <c r="E4" s="84" t="n"/>
      <c r="F4" s="84" t="n"/>
      <c r="G4" s="84" t="n"/>
      <c r="H4" s="84" t="n"/>
      <c r="I4" s="84" t="n"/>
      <c r="J4" s="87" t="n"/>
      <c r="K4" s="87" t="n"/>
      <c r="L4" s="84" t="n"/>
      <c r="M4" s="84" t="n"/>
      <c r="N4" s="68" t="n"/>
      <c r="O4" s="68" t="n"/>
    </row>
    <row r="5" ht="18.5" customHeight="1" s="33">
      <c r="A5" s="84" t="n"/>
      <c r="B5" s="84" t="n"/>
      <c r="C5" s="84" t="n"/>
      <c r="D5" s="84" t="n"/>
      <c r="E5" s="84" t="n"/>
      <c r="F5" s="84" t="n"/>
      <c r="G5" s="84" t="n"/>
      <c r="H5" s="84" t="n"/>
      <c r="I5" s="84" t="n"/>
      <c r="J5" s="87" t="n"/>
      <c r="K5" s="87" t="n"/>
      <c r="L5" s="84" t="n"/>
      <c r="M5" s="84" t="n"/>
      <c r="N5" s="68" t="n"/>
      <c r="O5" s="68" t="n"/>
    </row>
    <row r="6" ht="18.5" customHeight="1" s="33">
      <c r="A6" s="84" t="n"/>
      <c r="B6" s="84" t="n"/>
      <c r="C6" s="84" t="n"/>
      <c r="D6" s="84" t="n"/>
      <c r="E6" s="84" t="n"/>
      <c r="F6" s="84" t="n"/>
      <c r="G6" s="84" t="n"/>
      <c r="H6" s="84" t="n"/>
      <c r="I6" s="84" t="n"/>
      <c r="J6" s="87" t="n"/>
      <c r="K6" s="87" t="n"/>
      <c r="L6" s="84" t="n"/>
      <c r="M6" s="84" t="n"/>
      <c r="N6" s="68" t="n"/>
      <c r="O6" s="68" t="n"/>
    </row>
    <row r="7" ht="18.5" customHeight="1" s="33">
      <c r="A7" s="84" t="n"/>
      <c r="B7" s="84" t="n"/>
      <c r="C7" s="84" t="n"/>
      <c r="D7" s="84" t="n"/>
      <c r="E7" s="84" t="n"/>
      <c r="F7" s="84" t="n"/>
      <c r="G7" s="84" t="n"/>
      <c r="H7" s="84" t="n"/>
      <c r="I7" s="84" t="n"/>
      <c r="J7" s="87" t="n"/>
      <c r="K7" s="87" t="n"/>
      <c r="L7" s="84" t="n"/>
      <c r="M7" s="84" t="n"/>
      <c r="N7" s="68" t="n"/>
      <c r="O7" s="68" t="n"/>
    </row>
    <row r="8" ht="18.5" customHeight="1" s="33">
      <c r="A8" s="84" t="n"/>
      <c r="B8" s="84" t="n"/>
      <c r="C8" s="84" t="n"/>
      <c r="D8" s="84" t="n"/>
      <c r="E8" s="84" t="n"/>
      <c r="F8" s="84" t="n"/>
      <c r="G8" s="84" t="n"/>
      <c r="H8" s="84" t="n"/>
      <c r="I8" s="84" t="n"/>
      <c r="J8" s="87" t="n"/>
      <c r="K8" s="87" t="n"/>
      <c r="L8" s="84" t="n"/>
      <c r="M8" s="84" t="n"/>
      <c r="N8" s="68" t="n"/>
      <c r="O8" s="68" t="n"/>
    </row>
    <row r="9" ht="18.5" customHeight="1" s="33">
      <c r="A9" s="84" t="n"/>
      <c r="B9" s="84" t="n"/>
      <c r="C9" s="84" t="n"/>
      <c r="D9" s="84" t="n"/>
      <c r="E9" s="84" t="n"/>
      <c r="F9" s="84" t="n"/>
      <c r="G9" s="84" t="n"/>
      <c r="H9" s="84" t="n"/>
      <c r="I9" s="84" t="n"/>
      <c r="J9" s="87" t="n"/>
      <c r="K9" s="87" t="n"/>
      <c r="L9" s="84" t="n"/>
      <c r="M9" s="84" t="n"/>
      <c r="N9" s="68" t="n"/>
      <c r="O9" s="68" t="n"/>
    </row>
    <row r="10" ht="18.5" customHeight="1" s="33">
      <c r="A10" s="84" t="n"/>
      <c r="B10" s="84" t="n"/>
      <c r="C10" s="84" t="n"/>
      <c r="D10" s="84" t="n"/>
      <c r="E10" s="84" t="n"/>
      <c r="F10" s="84" t="n"/>
      <c r="G10" s="84" t="n"/>
      <c r="H10" s="84" t="n"/>
      <c r="I10" s="84" t="n"/>
      <c r="J10" s="87" t="n"/>
      <c r="K10" s="87" t="n"/>
      <c r="L10" s="84" t="n"/>
      <c r="M10" s="84" t="n"/>
      <c r="N10" s="68" t="n"/>
      <c r="O10" s="68" t="n"/>
    </row>
    <row r="11" ht="18.5" customHeight="1" s="33">
      <c r="A11" s="84" t="n"/>
      <c r="B11" s="84" t="n"/>
      <c r="C11" s="84" t="n"/>
      <c r="D11" s="84" t="n"/>
      <c r="E11" s="84" t="n"/>
      <c r="F11" s="84" t="n"/>
      <c r="G11" s="84" t="n"/>
      <c r="H11" s="84" t="n"/>
      <c r="I11" s="84" t="n"/>
      <c r="J11" s="87" t="n"/>
      <c r="K11" s="87" t="n"/>
      <c r="L11" s="84" t="n"/>
      <c r="M11" s="84" t="n"/>
      <c r="N11" s="68" t="n"/>
      <c r="O11" s="68" t="n"/>
    </row>
    <row r="12" ht="18.5" customHeight="1" s="33">
      <c r="A12" s="84" t="n"/>
      <c r="B12" s="84" t="n"/>
      <c r="C12" s="84" t="n"/>
      <c r="D12" s="84" t="n"/>
      <c r="E12" s="84" t="n"/>
      <c r="F12" s="84" t="n"/>
      <c r="G12" s="84" t="n"/>
      <c r="H12" s="84" t="n"/>
      <c r="I12" s="84" t="n"/>
      <c r="J12" s="87" t="n"/>
      <c r="K12" s="87" t="n"/>
      <c r="L12" s="84" t="n"/>
      <c r="M12" s="84" t="n"/>
      <c r="N12" s="68" t="n"/>
      <c r="O12" s="68" t="n"/>
    </row>
    <row r="13" s="33">
      <c r="A13" s="68" t="n"/>
      <c r="B13" s="68" t="n"/>
      <c r="C13" s="68" t="n"/>
      <c r="D13" s="68" t="n"/>
      <c r="E13" s="68" t="n"/>
      <c r="F13" s="68" t="n"/>
      <c r="G13" s="68" t="n"/>
      <c r="H13" s="68" t="n"/>
      <c r="I13" s="68" t="n"/>
      <c r="J13" s="68" t="n"/>
      <c r="K13" s="68" t="n"/>
      <c r="L13" s="68" t="n"/>
      <c r="M13" s="68" t="n"/>
      <c r="N13" s="68" t="n"/>
      <c r="O13" s="68" t="n"/>
    </row>
    <row r="14" ht="18.5" customHeight="1" s="33">
      <c r="A14" s="92" t="inlineStr">
        <is>
          <t>Notas de los escenarios</t>
        </is>
      </c>
      <c r="B14" s="68" t="n"/>
      <c r="C14" s="68" t="n"/>
      <c r="D14" s="68" t="n"/>
      <c r="E14" s="68" t="n"/>
      <c r="F14" s="68" t="n"/>
      <c r="G14" s="68" t="n"/>
      <c r="H14" s="68" t="n"/>
      <c r="I14" s="68" t="n"/>
      <c r="J14" s="68" t="n"/>
      <c r="K14" s="68" t="n"/>
      <c r="L14" s="68" t="n"/>
      <c r="M14" s="68" t="n"/>
      <c r="N14" s="68" t="n"/>
      <c r="O14" s="68" t="n"/>
    </row>
    <row r="15" ht="35.9" customHeight="1" s="33">
      <c r="A15" s="93" t="inlineStr">
        <is>
          <t>Documento</t>
        </is>
      </c>
      <c r="B15" s="109" t="n"/>
      <c r="C15" s="68" t="n"/>
      <c r="N15" s="68" t="n"/>
      <c r="O15" s="68" t="n"/>
    </row>
    <row r="16" ht="33" customHeight="1" s="33">
      <c r="A16" s="93" t="inlineStr">
        <is>
          <t>Objetivo</t>
        </is>
      </c>
      <c r="B16" s="109" t="n"/>
      <c r="C16" s="68" t="n"/>
      <c r="N16" s="68" t="n"/>
      <c r="O16" s="68" t="n"/>
    </row>
    <row r="17" ht="33" customHeight="1" s="33">
      <c r="A17" s="93" t="inlineStr">
        <is>
          <t>Alcance</t>
        </is>
      </c>
      <c r="B17" s="109" t="n"/>
      <c r="C17" s="68" t="n"/>
      <c r="N17" s="68" t="n"/>
      <c r="O17" s="68" t="n"/>
    </row>
    <row r="18" ht="35.9" customHeight="1" s="33">
      <c r="A18" s="93" t="inlineStr">
        <is>
          <t>Tipos de prueba</t>
        </is>
      </c>
      <c r="B18" s="109" t="n"/>
      <c r="C18" s="68" t="n"/>
      <c r="N18" s="68" t="n"/>
      <c r="O18" s="68" t="n"/>
    </row>
    <row r="19" ht="51.9" customHeight="1" s="33">
      <c r="A19" s="93" t="inlineStr">
        <is>
          <t>Cómo se fijan las metas</t>
        </is>
      </c>
      <c r="B19" s="109" t="n"/>
      <c r="C19" s="68" t="n"/>
      <c r="N19" s="68" t="n"/>
      <c r="O19" s="68" t="n"/>
    </row>
    <row r="20" ht="19.9" customHeight="1" s="33">
      <c r="A20" s="93" t="inlineStr">
        <is>
          <t>Ambiente</t>
        </is>
      </c>
      <c r="B20" s="109" t="n"/>
      <c r="C20" s="68" t="n"/>
      <c r="N20" s="68" t="n"/>
      <c r="O20" s="68" t="n"/>
    </row>
    <row r="21" ht="35.9" customHeight="1" s="33">
      <c r="A21" s="93" t="inlineStr">
        <is>
          <t>Datos y usuarios</t>
        </is>
      </c>
      <c r="B21" s="109" t="n"/>
      <c r="C21" s="68" t="n"/>
      <c r="N21" s="68" t="n"/>
      <c r="O21" s="68" t="n"/>
    </row>
    <row r="22" ht="35.9" customHeight="1" s="33">
      <c r="A22" s="93" t="inlineStr">
        <is>
          <t>Herramienta</t>
        </is>
      </c>
      <c r="B22" s="109" t="n"/>
      <c r="C22" s="68" t="n"/>
      <c r="N22" s="68" t="n"/>
      <c r="O22" s="68" t="n"/>
    </row>
    <row r="23" ht="51.9" customHeight="1" s="33">
      <c r="A23" s="93" t="inlineStr">
        <is>
          <t>Orden y precauciones</t>
        </is>
      </c>
      <c r="B23" s="109" t="n"/>
      <c r="C23" s="68" t="n"/>
      <c r="N23" s="68" t="n"/>
      <c r="O23" s="68" t="n"/>
    </row>
    <row r="24" ht="35.9" customHeight="1" s="33">
      <c r="A24" s="93" t="inlineStr">
        <is>
          <t>Advertencia</t>
        </is>
      </c>
      <c r="B24" s="109" t="n"/>
      <c r="C24" s="68" t="n"/>
      <c r="N24" s="68" t="n"/>
      <c r="O24" s="68" t="n"/>
    </row>
  </sheetData>
  <mergeCells count="20">
    <mergeCell ref="A24:B24"/>
    <mergeCell ref="A15:B15"/>
    <mergeCell ref="C15:M15"/>
    <mergeCell ref="C24:M24"/>
    <mergeCell ref="A16:B16"/>
    <mergeCell ref="C20:M20"/>
    <mergeCell ref="C16:M16"/>
    <mergeCell ref="A18:B18"/>
    <mergeCell ref="C22:M22"/>
    <mergeCell ref="A21:B21"/>
    <mergeCell ref="C21:M21"/>
    <mergeCell ref="A17:B17"/>
    <mergeCell ref="A23:B23"/>
    <mergeCell ref="A22:B22"/>
    <mergeCell ref="C17:M17"/>
    <mergeCell ref="C23:M23"/>
    <mergeCell ref="A20:B20"/>
    <mergeCell ref="A19:B19"/>
    <mergeCell ref="C19:M19"/>
    <mergeCell ref="C18:M1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M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9" customWidth="1" style="32" min="1" max="1"/>
    <col width="13" customWidth="1" style="32" min="2" max="2"/>
    <col width="18.71" customWidth="1" style="32" min="3" max="3"/>
    <col width="30" customWidth="1" style="32" min="4" max="4"/>
    <col width="40" customWidth="1" style="32" min="5" max="5"/>
    <col width="32" customWidth="1" style="32" min="6" max="6"/>
    <col width="24" customWidth="1" style="32" min="7" max="7"/>
    <col width="20" customWidth="1" style="32" min="8" max="8"/>
    <col width="40" customWidth="1" style="32" min="9" max="9"/>
    <col width="13" customWidth="1" style="32" min="10" max="10"/>
    <col width="40" customWidth="1" style="32" min="11" max="11"/>
    <col width="120" customWidth="1" style="33" min="13" max="13"/>
  </cols>
  <sheetData>
    <row r="1" ht="33" customHeight="1" s="33">
      <c r="A1" s="81" t="inlineStr">
        <is>
          <t>ID</t>
        </is>
      </c>
      <c r="B1" s="81" t="inlineStr">
        <is>
          <t>Tipo</t>
        </is>
      </c>
      <c r="C1" s="81" t="inlineStr">
        <is>
          <t>Historia</t>
        </is>
      </c>
      <c r="D1" s="81" t="inlineStr">
        <is>
          <t>Escenario</t>
        </is>
      </c>
      <c r="E1" s="81" t="inlineStr">
        <is>
          <t>Carga o condición aplicada</t>
        </is>
      </c>
      <c r="F1" s="81" t="inlineStr">
        <is>
          <t>Métrica observada</t>
        </is>
      </c>
      <c r="G1" s="81" t="inlineStr">
        <is>
          <t>Meta acordada</t>
        </is>
      </c>
      <c r="H1" s="81" t="inlineStr">
        <is>
          <t>Herramienta</t>
        </is>
      </c>
      <c r="I1" s="81" t="inlineStr">
        <is>
          <t>Resultado obtenido</t>
        </is>
      </c>
      <c r="J1" s="81" t="inlineStr">
        <is>
          <t>Estado</t>
        </is>
      </c>
      <c r="K1" s="81" t="inlineStr">
        <is>
          <t>Observación</t>
        </is>
      </c>
      <c r="L1" s="68" t="n"/>
      <c r="M1" s="91" t="n"/>
    </row>
    <row r="2" ht="18.5" customHeight="1" s="33">
      <c r="A2" s="84" t="n"/>
      <c r="B2" s="84" t="n"/>
      <c r="C2" s="84" t="n"/>
      <c r="D2" s="84" t="n"/>
      <c r="E2" s="84" t="n"/>
      <c r="F2" s="84" t="n"/>
      <c r="G2" s="84" t="n"/>
      <c r="H2" s="84" t="n"/>
      <c r="I2" s="87" t="n"/>
      <c r="J2" s="89" t="n"/>
      <c r="K2" s="84" t="n"/>
      <c r="L2" s="68" t="n"/>
      <c r="M2" s="68" t="n"/>
    </row>
    <row r="3" ht="18.5" customHeight="1" s="33">
      <c r="A3" s="84" t="n"/>
      <c r="B3" s="84" t="n"/>
      <c r="C3" s="84" t="n"/>
      <c r="D3" s="84" t="n"/>
      <c r="E3" s="84" t="n"/>
      <c r="F3" s="84" t="n"/>
      <c r="G3" s="84" t="n"/>
      <c r="H3" s="84" t="n"/>
      <c r="I3" s="87" t="n"/>
      <c r="J3" s="89" t="n"/>
      <c r="K3" s="84" t="n"/>
      <c r="L3" s="68" t="n"/>
      <c r="M3" s="68" t="n"/>
    </row>
    <row r="4" ht="18.5" customHeight="1" s="33">
      <c r="A4" s="84" t="n"/>
      <c r="B4" s="84" t="n"/>
      <c r="C4" s="84" t="n"/>
      <c r="D4" s="84" t="n"/>
      <c r="E4" s="84" t="n"/>
      <c r="F4" s="84" t="n"/>
      <c r="G4" s="84" t="n"/>
      <c r="H4" s="84" t="n"/>
      <c r="I4" s="87" t="n"/>
      <c r="J4" s="89" t="n"/>
      <c r="K4" s="84" t="n"/>
      <c r="L4" s="68" t="n"/>
      <c r="M4" s="68" t="n"/>
    </row>
    <row r="5" ht="18.5" customHeight="1" s="33">
      <c r="A5" s="84" t="n"/>
      <c r="B5" s="84" t="n"/>
      <c r="C5" s="84" t="n"/>
      <c r="D5" s="84" t="n"/>
      <c r="E5" s="84" t="n"/>
      <c r="F5" s="84" t="n"/>
      <c r="G5" s="84" t="n"/>
      <c r="H5" s="84" t="n"/>
      <c r="I5" s="87" t="n"/>
      <c r="J5" s="89" t="n"/>
      <c r="K5" s="84" t="n"/>
      <c r="L5" s="68" t="n"/>
      <c r="M5" s="68" t="n"/>
    </row>
    <row r="6" ht="18.5" customHeight="1" s="33">
      <c r="A6" s="84" t="n"/>
      <c r="B6" s="84" t="n"/>
      <c r="C6" s="84" t="n"/>
      <c r="D6" s="84" t="n"/>
      <c r="E6" s="84" t="n"/>
      <c r="F6" s="84" t="n"/>
      <c r="G6" s="84" t="n"/>
      <c r="H6" s="84" t="n"/>
      <c r="I6" s="87" t="n"/>
      <c r="J6" s="89" t="n"/>
      <c r="K6" s="84" t="n"/>
      <c r="L6" s="68" t="n"/>
      <c r="M6" s="68" t="n"/>
    </row>
    <row r="7" ht="18.5" customHeight="1" s="33">
      <c r="A7" s="84" t="n"/>
      <c r="B7" s="84" t="n"/>
      <c r="C7" s="84" t="n"/>
      <c r="D7" s="84" t="n"/>
      <c r="E7" s="84" t="n"/>
      <c r="F7" s="84" t="n"/>
      <c r="G7" s="84" t="n"/>
      <c r="H7" s="84" t="n"/>
      <c r="I7" s="87" t="n"/>
      <c r="J7" s="89" t="n"/>
      <c r="K7" s="84" t="n"/>
      <c r="L7" s="68" t="n"/>
      <c r="M7" s="68" t="n"/>
    </row>
    <row r="8" ht="18.5" customHeight="1" s="33">
      <c r="A8" s="84" t="n"/>
      <c r="B8" s="84" t="n"/>
      <c r="C8" s="84" t="n"/>
      <c r="D8" s="84" t="n"/>
      <c r="E8" s="84" t="n"/>
      <c r="F8" s="84" t="n"/>
      <c r="G8" s="84" t="n"/>
      <c r="H8" s="84" t="n"/>
      <c r="I8" s="87" t="n"/>
      <c r="J8" s="95" t="n"/>
      <c r="K8" s="84" t="n"/>
      <c r="L8" s="68" t="n"/>
      <c r="M8" s="68" t="n"/>
    </row>
    <row r="9" ht="18.5" customHeight="1" s="33">
      <c r="A9" s="84" t="n"/>
      <c r="B9" s="84" t="n"/>
      <c r="C9" s="84" t="n"/>
      <c r="D9" s="84" t="n"/>
      <c r="E9" s="84" t="n"/>
      <c r="F9" s="84" t="n"/>
      <c r="G9" s="84" t="n"/>
      <c r="H9" s="84" t="n"/>
      <c r="I9" s="87" t="n"/>
      <c r="J9" s="95" t="n"/>
      <c r="K9" s="84" t="n"/>
      <c r="L9" s="68" t="n"/>
      <c r="M9" s="68" t="n"/>
    </row>
    <row r="10" ht="18.5" customHeight="1" s="33">
      <c r="A10" s="84" t="n"/>
      <c r="B10" s="84" t="n"/>
      <c r="C10" s="84" t="n"/>
      <c r="D10" s="84" t="n"/>
      <c r="E10" s="84" t="n"/>
      <c r="F10" s="84" t="n"/>
      <c r="G10" s="84" t="n"/>
      <c r="H10" s="84" t="n"/>
      <c r="I10" s="87" t="n"/>
      <c r="J10" s="89" t="n"/>
      <c r="K10" s="84" t="n"/>
      <c r="L10" s="68" t="n"/>
      <c r="M10" s="68" t="n"/>
    </row>
    <row r="11" ht="18.5" customHeight="1" s="33">
      <c r="A11" s="84" t="n"/>
      <c r="B11" s="84" t="n"/>
      <c r="C11" s="84" t="n"/>
      <c r="D11" s="84" t="n"/>
      <c r="E11" s="84" t="n"/>
      <c r="F11" s="84" t="n"/>
      <c r="G11" s="84" t="n"/>
      <c r="H11" s="84" t="n"/>
      <c r="I11" s="87" t="n"/>
      <c r="J11" s="89" t="n"/>
      <c r="K11" s="84" t="n"/>
      <c r="L11" s="68" t="n"/>
      <c r="M11" s="68" t="n"/>
    </row>
    <row r="12" ht="18.5" customHeight="1" s="33">
      <c r="A12" s="84" t="n"/>
      <c r="B12" s="84" t="n"/>
      <c r="C12" s="84" t="n"/>
      <c r="D12" s="84" t="n"/>
      <c r="E12" s="84" t="n"/>
      <c r="F12" s="84" t="n"/>
      <c r="G12" s="84" t="n"/>
      <c r="H12" s="84" t="n"/>
      <c r="I12" s="87" t="n"/>
      <c r="J12" s="89" t="n"/>
      <c r="K12" s="84" t="n"/>
      <c r="L12" s="68" t="n"/>
      <c r="M12" s="68" t="n"/>
    </row>
  </sheetData>
  <conditionalFormatting sqref="J2:J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"Cumple"</formula>
    </cfRule>
    <cfRule type="cellIs" rank="0" priority="4" equalAverage="0" operator="equal" aboveAverage="0" dxfId="2" text="" percent="0" bottom="0">
      <formula>"No cumple"</formula>
    </cfRule>
    <cfRule type="cellIs" rank="0" priority="5" equalAverage="0" operator="equal" aboveAverage="0" dxfId="6" text="" percent="0" bottom="0">
      <formula>"Informativo"</formula>
    </cfRule>
    <cfRule type="cellIs" rank="0" priority="6" equalAverage="0" operator="equal" aboveAverage="0" dxfId="3" text="" percent="0" bottom="0">
      <formula>"Bloqueado"</formula>
    </cfRule>
  </conditionalFormatting>
  <conditionalFormatting sqref="B2:B200">
    <cfRule type="cellIs" rank="0" priority="7" equalAverage="0" operator="equal" aboveAverage="0" dxfId="6" text="" percent="0" bottom="0">
      <formula>"Carga"</formula>
    </cfRule>
    <cfRule type="cellIs" rank="0" priority="8" equalAverage="0" operator="equal" aboveAverage="0" dxfId="7" text="" percent="0" bottom="0">
      <formula>"Estrés"</formula>
    </cfRule>
    <cfRule type="cellIs" rank="0" priority="9" equalAverage="0" operator="equal" aboveAverage="0" dxfId="8" text="" percent="0" bottom="0">
      <formula>"Volumen"</formula>
    </cfRule>
    <cfRule type="cellIs" rank="0" priority="10" equalAverage="0" operator="equal" aboveAverage="0" dxfId="9" text="" percent="0" bottom="0">
      <formula>"Límites"</formula>
    </cfRule>
    <cfRule type="cellIs" rank="0" priority="11" equalAverage="0" operator="equal" aboveAverage="0" dxfId="10" text="" percent="0" bottom="0">
      <formula>"Recuperación"</formula>
    </cfRule>
  </conditionalFormatting>
  <dataValidations count="2">
    <dataValidation sqref="B2:B200" showDropDown="0" showInputMessage="0" showErrorMessage="0" allowBlank="1" errorTitle="Valor no válido" error="Elige un valor de la lista." type="list" errorStyle="stop" operator="between">
      <formula1>"Carga,Estrés,Volumen,Límites,Recuperación"</formula1>
      <formula2>0</formula2>
    </dataValidation>
    <dataValidation sqref="J2:J200" showDropDown="0" showInputMessage="0" showErrorMessage="0" allowBlank="1" errorTitle="Valor no válido" error="Elige un valor de la lista." type="list" errorStyle="stop" operator="between">
      <formula1>"Pendiente,Cumple,No cumple,Informativo,Bloqueado"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H99"/>
  <sheetViews>
    <sheetView showFormulas="0" showGridLines="0" showRowColHeaders="1" showZeros="1" rightToLeft="0" tabSelected="1" showOutlineSymbols="1" defaultGridColor="1" view="normal" topLeftCell="A32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2" min="1" max="1"/>
    <col width="16" customWidth="1" style="32" min="2" max="3"/>
    <col width="13" customWidth="1" style="32" min="4" max="7"/>
  </cols>
  <sheetData>
    <row r="1" ht="21" customHeight="1" s="33">
      <c r="A1" s="96" t="inlineStr">
        <is>
          <t>Resumen de ejecución</t>
        </is>
      </c>
      <c r="B1" s="68" t="n"/>
      <c r="C1" s="68" t="n"/>
      <c r="D1" s="68" t="n"/>
      <c r="E1" s="68" t="n"/>
      <c r="F1" s="68" t="n"/>
      <c r="G1" s="68" t="n"/>
      <c r="H1" s="68" t="n"/>
    </row>
    <row r="2" s="33">
      <c r="A2" s="68" t="n"/>
      <c r="B2" s="68" t="n"/>
      <c r="C2" s="68" t="n"/>
      <c r="D2" s="68" t="n"/>
      <c r="E2" s="68" t="n"/>
      <c r="F2" s="68" t="n"/>
      <c r="G2" s="68" t="n"/>
      <c r="H2" s="68" t="n"/>
    </row>
    <row r="3" ht="18.5" customHeight="1" s="33">
      <c r="A3" s="97" t="inlineStr">
        <is>
          <t>Se calcula solo. No escribir en esta hoja.</t>
        </is>
      </c>
      <c r="B3" s="68" t="n"/>
      <c r="C3" s="68" t="n"/>
      <c r="D3" s="68" t="n"/>
      <c r="E3" s="68" t="n"/>
      <c r="F3" s="68" t="n"/>
      <c r="G3" s="68" t="n"/>
      <c r="H3" s="68" t="n"/>
    </row>
    <row r="4" s="33">
      <c r="A4" s="68" t="n"/>
      <c r="B4" s="68" t="n"/>
      <c r="C4" s="68" t="n"/>
      <c r="D4" s="68" t="n"/>
      <c r="E4" s="68" t="n"/>
      <c r="F4" s="68" t="n"/>
      <c r="G4" s="68" t="n"/>
      <c r="H4" s="68" t="n"/>
    </row>
    <row r="5" ht="18.5" customHeight="1" s="33">
      <c r="A5" s="98" t="inlineStr">
        <is>
          <t>Indicador</t>
        </is>
      </c>
      <c r="B5" s="98" t="inlineStr">
        <is>
          <t>Cantidad</t>
        </is>
      </c>
      <c r="C5" s="98" t="inlineStr">
        <is>
          <t>% del total</t>
        </is>
      </c>
      <c r="D5" s="68" t="n"/>
      <c r="E5" s="68" t="n"/>
      <c r="F5" s="68" t="n"/>
      <c r="G5" s="68" t="n"/>
      <c r="H5" s="68" t="n"/>
    </row>
    <row r="6" ht="18.5" customHeight="1" s="33">
      <c r="A6" s="99" t="inlineStr">
        <is>
          <t>Total de casos</t>
        </is>
      </c>
      <c r="B6" s="99">
        <f>COUNTA('Casos de Prueba'!A2:A200)</f>
        <v/>
      </c>
      <c r="C6" s="100" t="n"/>
      <c r="D6" s="68" t="n"/>
      <c r="E6" s="68" t="n"/>
      <c r="F6" s="68" t="n"/>
      <c r="G6" s="68" t="n"/>
      <c r="H6" s="68" t="n"/>
    </row>
    <row r="7" ht="18.5" customHeight="1" s="33">
      <c r="A7" s="99" t="inlineStr">
        <is>
          <t>Pendientes</t>
        </is>
      </c>
      <c r="B7" s="99">
        <f>COUNTIF('Casos de Prueba'!L2:L200,"Pendiente")</f>
        <v/>
      </c>
      <c r="C7" s="101">
        <f>IF(B6=0,0,B7/B6)</f>
        <v/>
      </c>
      <c r="D7" s="68" t="n"/>
      <c r="E7" s="68" t="n"/>
      <c r="F7" s="68" t="n"/>
      <c r="G7" s="68" t="n"/>
      <c r="H7" s="68" t="n"/>
    </row>
    <row r="8" ht="18.5" customHeight="1" s="33">
      <c r="A8" s="99" t="inlineStr">
        <is>
          <t>Aprobados</t>
        </is>
      </c>
      <c r="B8" s="99">
        <f>COUNTIF('Casos de Prueba'!L2:L200,"Aprobado")</f>
        <v/>
      </c>
      <c r="C8" s="101">
        <f>IF(B6=0,0,B8/B6)</f>
        <v/>
      </c>
      <c r="D8" s="68" t="n"/>
      <c r="E8" s="68" t="n"/>
      <c r="F8" s="68" t="n"/>
      <c r="G8" s="68" t="n"/>
      <c r="H8" s="68" t="n"/>
    </row>
    <row r="9" ht="18.5" customHeight="1" s="33">
      <c r="A9" s="99" t="inlineStr">
        <is>
          <t>Fallidos</t>
        </is>
      </c>
      <c r="B9" s="99">
        <f>COUNTIF('Casos de Prueba'!L2:L200,"Fallido")</f>
        <v/>
      </c>
      <c r="C9" s="101">
        <f>IF(B6=0,0,B9/B6)</f>
        <v/>
      </c>
      <c r="D9" s="68" t="n"/>
      <c r="E9" s="68" t="n"/>
      <c r="F9" s="68" t="n"/>
      <c r="G9" s="68" t="n"/>
      <c r="H9" s="68" t="n"/>
    </row>
    <row r="10" ht="18.5" customHeight="1" s="33">
      <c r="A10" s="99" t="inlineStr">
        <is>
          <t>Bloqueados</t>
        </is>
      </c>
      <c r="B10" s="99">
        <f>COUNTIF('Casos de Prueba'!L2:L200,"Bloqueado")</f>
        <v/>
      </c>
      <c r="C10" s="101">
        <f>IF(B6=0,0,B10/B6)</f>
        <v/>
      </c>
      <c r="D10" s="68" t="n"/>
      <c r="E10" s="68" t="n"/>
      <c r="F10" s="68" t="n"/>
      <c r="G10" s="68" t="n"/>
      <c r="H10" s="68" t="n"/>
    </row>
    <row r="11" ht="18.5" customHeight="1" s="33">
      <c r="A11" s="99" t="inlineStr">
        <is>
          <t>No aplica</t>
        </is>
      </c>
      <c r="B11" s="99">
        <f>COUNTIF('Casos de Prueba'!L2:L200,"No aplica")</f>
        <v/>
      </c>
      <c r="C11" s="101">
        <f>IF(B6=0,0,B11/B6)</f>
        <v/>
      </c>
      <c r="D11" s="68" t="n"/>
      <c r="E11" s="68" t="n"/>
      <c r="F11" s="68" t="n"/>
      <c r="G11" s="68" t="n"/>
      <c r="H11" s="68" t="n"/>
    </row>
    <row r="12" ht="18.5" customHeight="1" s="33">
      <c r="A12" s="99" t="inlineStr">
        <is>
          <t>Casos críticos</t>
        </is>
      </c>
      <c r="B12" s="99">
        <f>COUNTIF('Casos de Prueba'!E2:E200,"Crítica")</f>
        <v/>
      </c>
      <c r="C12" s="101">
        <f>IF(B6=0,0,B12/B6)</f>
        <v/>
      </c>
      <c r="D12" s="68" t="n"/>
      <c r="E12" s="68" t="n"/>
      <c r="F12" s="68" t="n"/>
      <c r="G12" s="68" t="n"/>
      <c r="H12" s="68" t="n"/>
    </row>
    <row r="13" ht="18.5" customHeight="1" s="33">
      <c r="A13" s="99" t="inlineStr">
        <is>
          <t>Críticos aprobados</t>
        </is>
      </c>
      <c r="B13" s="99">
        <f>COUNTIFS('Casos de Prueba'!E2:E200,"Crítica",'Casos de Prueba'!L2:L200,"Aprobado")</f>
        <v/>
      </c>
      <c r="C13" s="101">
        <f>IF(B12=0,0,B13/B12)</f>
        <v/>
      </c>
      <c r="D13" s="68" t="n"/>
      <c r="E13" s="68" t="n"/>
      <c r="F13" s="68" t="n"/>
      <c r="G13" s="68" t="n"/>
      <c r="H13" s="68" t="n"/>
    </row>
    <row r="14" s="33">
      <c r="A14" s="68" t="n"/>
      <c r="B14" s="68" t="n"/>
      <c r="C14" s="68" t="n"/>
      <c r="D14" s="68" t="n"/>
      <c r="E14" s="68" t="n"/>
      <c r="F14" s="68" t="n"/>
      <c r="G14" s="68" t="n"/>
      <c r="H14" s="68" t="n"/>
    </row>
    <row r="15" ht="18.5" customHeight="1" s="33">
      <c r="A15" s="72" t="inlineStr">
        <is>
          <t>Pruebas no funcionales por tipo</t>
        </is>
      </c>
      <c r="B15" s="68" t="n"/>
      <c r="C15" s="68" t="n"/>
      <c r="D15" s="68" t="n"/>
      <c r="E15" s="68" t="n"/>
      <c r="F15" s="68" t="n"/>
      <c r="G15" s="68" t="n"/>
      <c r="H15" s="68" t="n"/>
    </row>
    <row r="16" ht="18.5" customHeight="1" s="33">
      <c r="A16" s="98" t="inlineStr">
        <is>
          <t>Indicador</t>
        </is>
      </c>
      <c r="B16" s="98" t="inlineStr">
        <is>
          <t>Cantidad</t>
        </is>
      </c>
      <c r="C16" s="98" t="inlineStr">
        <is>
          <t>% del total</t>
        </is>
      </c>
      <c r="D16" s="68" t="n"/>
      <c r="E16" s="68" t="n"/>
      <c r="F16" s="68" t="n"/>
      <c r="G16" s="68" t="n"/>
      <c r="H16" s="68" t="n"/>
    </row>
    <row r="17" ht="18.5" customHeight="1" s="33">
      <c r="A17" s="99" t="inlineStr">
        <is>
          <t>Total no funcionales</t>
        </is>
      </c>
      <c r="B17" s="99">
        <f>COUNTA('Pruebas No Funcionales'!A2:A200)</f>
        <v/>
      </c>
      <c r="C17" s="100" t="n"/>
      <c r="D17" s="68" t="n"/>
      <c r="E17" s="68" t="n"/>
      <c r="F17" s="68" t="n"/>
      <c r="G17" s="68" t="n"/>
      <c r="H17" s="68" t="n"/>
    </row>
    <row r="18" ht="18.5" customHeight="1" s="33">
      <c r="A18" s="99" t="inlineStr">
        <is>
          <t>Carga</t>
        </is>
      </c>
      <c r="B18" s="99">
        <f>COUNTIF('Pruebas No Funcionales'!B2:B200,"Carga")</f>
        <v/>
      </c>
      <c r="C18" s="101">
        <f>IF(B17=0,0,B18/B17)</f>
        <v/>
      </c>
      <c r="D18" s="68" t="n"/>
      <c r="E18" s="68" t="n"/>
      <c r="F18" s="68" t="n"/>
      <c r="G18" s="68" t="n"/>
      <c r="H18" s="68" t="n"/>
    </row>
    <row r="19" ht="18.5" customHeight="1" s="33">
      <c r="A19" s="99" t="inlineStr">
        <is>
          <t>Estrés</t>
        </is>
      </c>
      <c r="B19" s="99">
        <f>COUNTIF('Pruebas No Funcionales'!B2:B200,"Estrés")</f>
        <v/>
      </c>
      <c r="C19" s="101">
        <f>IF(B17=0,0,B19/B17)</f>
        <v/>
      </c>
      <c r="D19" s="68" t="n"/>
      <c r="E19" s="68" t="n"/>
      <c r="F19" s="68" t="n"/>
      <c r="G19" s="68" t="n"/>
      <c r="H19" s="68" t="n"/>
    </row>
    <row r="20" ht="18.5" customHeight="1" s="33">
      <c r="A20" s="99" t="inlineStr">
        <is>
          <t>Volumen</t>
        </is>
      </c>
      <c r="B20" s="99">
        <f>COUNTIF('Pruebas No Funcionales'!B2:B200,"Volumen")</f>
        <v/>
      </c>
      <c r="C20" s="101">
        <f>IF(B17=0,0,B20/B17)</f>
        <v/>
      </c>
      <c r="D20" s="68" t="n"/>
      <c r="E20" s="68" t="n"/>
      <c r="F20" s="68" t="n"/>
      <c r="G20" s="68" t="n"/>
      <c r="H20" s="68" t="n"/>
    </row>
    <row r="21" ht="18.5" customHeight="1" s="33">
      <c r="A21" s="99" t="inlineStr">
        <is>
          <t>Límites</t>
        </is>
      </c>
      <c r="B21" s="99">
        <f>COUNTIF('Pruebas No Funcionales'!B2:B200,"Límites")</f>
        <v/>
      </c>
      <c r="C21" s="101">
        <f>IF(B17=0,0,B21/B17)</f>
        <v/>
      </c>
      <c r="D21" s="68" t="n"/>
      <c r="E21" s="68" t="n"/>
      <c r="F21" s="68" t="n"/>
      <c r="G21" s="68" t="n"/>
      <c r="H21" s="68" t="n"/>
    </row>
    <row r="22" ht="18.5" customHeight="1" s="33">
      <c r="A22" s="99" t="inlineStr">
        <is>
          <t>Recuperación</t>
        </is>
      </c>
      <c r="B22" s="99">
        <f>COUNTIF('Pruebas No Funcionales'!B2:B200,"Recuperación")</f>
        <v/>
      </c>
      <c r="C22" s="101">
        <f>IF(B17=0,0,B22/B17)</f>
        <v/>
      </c>
      <c r="D22" s="68" t="n"/>
      <c r="E22" s="68" t="n"/>
      <c r="F22" s="68" t="n"/>
      <c r="G22" s="68" t="n"/>
      <c r="H22" s="68" t="n"/>
    </row>
    <row r="23" s="33">
      <c r="A23" s="68" t="n"/>
      <c r="B23" s="68" t="n"/>
      <c r="C23" s="68" t="n"/>
      <c r="D23" s="68" t="n"/>
      <c r="E23" s="68" t="n"/>
      <c r="F23" s="68" t="n"/>
      <c r="G23" s="68" t="n"/>
      <c r="H23" s="68" t="n"/>
    </row>
    <row r="24" ht="18.5" customHeight="1" s="33">
      <c r="A24" s="72" t="inlineStr">
        <is>
          <t>Pruebas no funcionales por estado</t>
        </is>
      </c>
      <c r="B24" s="68" t="n"/>
      <c r="C24" s="68" t="n"/>
      <c r="D24" s="68" t="n"/>
      <c r="E24" s="68" t="n"/>
      <c r="F24" s="68" t="n"/>
      <c r="G24" s="68" t="n"/>
      <c r="H24" s="68" t="n"/>
    </row>
    <row r="25" ht="18.5" customHeight="1" s="33">
      <c r="A25" s="98" t="inlineStr">
        <is>
          <t>Indicador</t>
        </is>
      </c>
      <c r="B25" s="98" t="inlineStr">
        <is>
          <t>Cantidad</t>
        </is>
      </c>
      <c r="C25" s="98" t="inlineStr">
        <is>
          <t>% del total</t>
        </is>
      </c>
      <c r="D25" s="68" t="n"/>
      <c r="E25" s="68" t="n"/>
      <c r="F25" s="68" t="n"/>
      <c r="G25" s="68" t="n"/>
      <c r="H25" s="68" t="n"/>
    </row>
    <row r="26" ht="18.5" customHeight="1" s="33">
      <c r="A26" s="99" t="inlineStr">
        <is>
          <t>Total no funcionales</t>
        </is>
      </c>
      <c r="B26" s="99">
        <f>COUNTA('Pruebas No Funcionales'!A2:A200)</f>
        <v/>
      </c>
      <c r="C26" s="100" t="n"/>
      <c r="D26" s="68" t="n"/>
      <c r="E26" s="68" t="n"/>
      <c r="F26" s="68" t="n"/>
      <c r="G26" s="68" t="n"/>
      <c r="H26" s="68" t="n"/>
    </row>
    <row r="27" ht="18.5" customHeight="1" s="33">
      <c r="A27" s="99" t="inlineStr">
        <is>
          <t>Pendiente</t>
        </is>
      </c>
      <c r="B27" s="99">
        <f>COUNTIF('Pruebas No Funcionales'!J2:J200,"Pendiente")</f>
        <v/>
      </c>
      <c r="C27" s="101">
        <f>IF(B26=0,0,B27/B26)</f>
        <v/>
      </c>
      <c r="D27" s="68" t="n"/>
      <c r="E27" s="68" t="n"/>
      <c r="F27" s="68" t="n"/>
      <c r="G27" s="68" t="n"/>
      <c r="H27" s="68" t="n"/>
    </row>
    <row r="28" ht="18.5" customHeight="1" s="33">
      <c r="A28" s="99" t="inlineStr">
        <is>
          <t>Cumple</t>
        </is>
      </c>
      <c r="B28" s="99">
        <f>COUNTIF('Pruebas No Funcionales'!J2:J200,"Cumple")</f>
        <v/>
      </c>
      <c r="C28" s="101">
        <f>IF(B26=0,0,B28/B26)</f>
        <v/>
      </c>
      <c r="D28" s="68" t="n"/>
      <c r="E28" s="68" t="n"/>
      <c r="F28" s="68" t="n"/>
      <c r="G28" s="68" t="n"/>
      <c r="H28" s="68" t="n"/>
    </row>
    <row r="29" ht="18.5" customHeight="1" s="33">
      <c r="A29" s="99" t="inlineStr">
        <is>
          <t>No cumple</t>
        </is>
      </c>
      <c r="B29" s="99">
        <f>COUNTIF('Pruebas No Funcionales'!J2:J200,"No cumple")</f>
        <v/>
      </c>
      <c r="C29" s="101">
        <f>IF(B26=0,0,B29/B26)</f>
        <v/>
      </c>
      <c r="D29" s="68" t="n"/>
      <c r="E29" s="68" t="n"/>
      <c r="F29" s="68" t="n"/>
      <c r="G29" s="68" t="n"/>
      <c r="H29" s="68" t="n"/>
    </row>
    <row r="30" ht="18.5" customHeight="1" s="33">
      <c r="A30" s="99" t="inlineStr">
        <is>
          <t>Informativo</t>
        </is>
      </c>
      <c r="B30" s="99">
        <f>COUNTIF('Pruebas No Funcionales'!J2:J200,"Informativo")</f>
        <v/>
      </c>
      <c r="C30" s="101">
        <f>IF(B26=0,0,B30/B26)</f>
        <v/>
      </c>
      <c r="D30" s="68" t="n"/>
      <c r="E30" s="68" t="n"/>
      <c r="F30" s="68" t="n"/>
      <c r="G30" s="68" t="n"/>
      <c r="H30" s="68" t="n"/>
    </row>
    <row r="31" ht="18.5" customHeight="1" s="33">
      <c r="A31" s="99" t="inlineStr">
        <is>
          <t>Bloqueado</t>
        </is>
      </c>
      <c r="B31" s="99">
        <f>COUNTIF('Pruebas No Funcionales'!J2:J200,"Bloqueado")</f>
        <v/>
      </c>
      <c r="C31" s="101">
        <f>IF(B26=0,0,B31/B26)</f>
        <v/>
      </c>
      <c r="D31" s="68" t="n"/>
      <c r="E31" s="68" t="n"/>
      <c r="F31" s="68" t="n"/>
      <c r="G31" s="68" t="n"/>
      <c r="H31" s="68" t="n"/>
    </row>
    <row r="32" s="33">
      <c r="A32" s="68" t="n"/>
      <c r="B32" s="68" t="n"/>
      <c r="C32" s="68" t="n"/>
      <c r="D32" s="68" t="n"/>
      <c r="E32" s="68" t="n"/>
      <c r="F32" s="68" t="n"/>
      <c r="G32" s="68" t="n"/>
      <c r="H32" s="68" t="n"/>
    </row>
    <row r="33" ht="18.5" customHeight="1" s="33">
      <c r="A33" s="72" t="inlineStr">
        <is>
          <t>Resultado por historia</t>
        </is>
      </c>
      <c r="B33" s="68" t="n"/>
      <c r="C33" s="68" t="n"/>
      <c r="D33" s="68" t="n"/>
      <c r="E33" s="68" t="n"/>
      <c r="F33" s="68" t="n"/>
      <c r="G33" s="68" t="n"/>
      <c r="H33" s="68" t="n"/>
    </row>
    <row r="34" ht="18.5" customHeight="1" s="33">
      <c r="A34" s="98" t="inlineStr">
        <is>
          <t>Historia</t>
        </is>
      </c>
      <c r="B34" s="98" t="inlineStr">
        <is>
          <t>Total</t>
        </is>
      </c>
      <c r="C34" s="98" t="inlineStr">
        <is>
          <t>Aprobados</t>
        </is>
      </c>
      <c r="D34" s="98" t="inlineStr">
        <is>
          <t>Fallidos</t>
        </is>
      </c>
      <c r="E34" s="98" t="inlineStr">
        <is>
          <t>Bloqueados</t>
        </is>
      </c>
      <c r="F34" s="98" t="inlineStr">
        <is>
          <t>Críticos fallidos</t>
        </is>
      </c>
      <c r="G34" s="98" t="inlineStr">
        <is>
          <t>Veredicto</t>
        </is>
      </c>
      <c r="H34" s="68" t="n"/>
    </row>
    <row r="35" ht="18.5" customHeight="1" s="33">
      <c r="A35" s="99" t="inlineStr">
        <is>
          <t>—</t>
        </is>
      </c>
      <c r="B35" s="99">
        <f>COUNTIF('Casos de Prueba'!B2:B200,LEFT($A35,FIND(" ",$A35&amp;" ")-1))</f>
        <v/>
      </c>
      <c r="C35" s="99">
        <f>COUNTIFS('Casos de Prueba'!B2:B200,LEFT($A35,FIND(" ",$A35&amp;" ")-1),'Casos de Prueba'!L2:L200,"Aprobado")</f>
        <v/>
      </c>
      <c r="D35" s="99">
        <f>COUNTIFS('Casos de Prueba'!B2:B200,LEFT($A35,FIND(" ",$A35&amp;" ")-1),'Casos de Prueba'!L2:L200,"Fallido")</f>
        <v/>
      </c>
      <c r="E35" s="99">
        <f>COUNTIFS('Casos de Prueba'!B2:B200,LEFT($A35,FIND(" ",$A35&amp;" ")-1),'Casos de Prueba'!L2:L200,"Bloqueado")</f>
        <v/>
      </c>
      <c r="F35" s="99">
        <f>COUNTIFS('Casos de Prueba'!B2:B200,LEFT($A35,FIND(" ",$A35&amp;" ")-1),'Casos de Prueba'!L2:L200,"Fallido",'Casos de Prueba'!E2:E200,"Crítica")+COUNTIFS('Casos de Prueba'!B2:B200,LEFT($A35,FIND(" ",$A35&amp;" ")-1),'Casos de Prueba'!L2:L200,"Bloqueado",'Casos de Prueba'!E2:E200,"Crítica")</f>
        <v/>
      </c>
      <c r="G35" s="99">
        <f>IF(B35=0,"Sin casos",IF(SUM(C35:E35)&lt;B35,"Pendiente",IF(D35+E35=0,"Pasa","No pasa")))</f>
        <v/>
      </c>
      <c r="H35" s="68" t="n"/>
    </row>
    <row r="36" ht="18.5" customHeight="1" s="33">
      <c r="A36" s="99" t="inlineStr">
        <is>
          <t>—</t>
        </is>
      </c>
      <c r="B36" s="99">
        <f>COUNTIF('Casos de Prueba'!B2:B200,LEFT($A36,FIND(" ",$A36&amp;" ")-1))</f>
        <v/>
      </c>
      <c r="C36" s="99">
        <f>COUNTIFS('Casos de Prueba'!B2:B200,LEFT($A36,FIND(" ",$A36&amp;" ")-1),'Casos de Prueba'!L2:L200,"Aprobado")</f>
        <v/>
      </c>
      <c r="D36" s="99">
        <f>COUNTIFS('Casos de Prueba'!B2:B200,LEFT($A36,FIND(" ",$A36&amp;" ")-1),'Casos de Prueba'!L2:L200,"Fallido")</f>
        <v/>
      </c>
      <c r="E36" s="99">
        <f>COUNTIFS('Casos de Prueba'!B2:B200,LEFT($A36,FIND(" ",$A36&amp;" ")-1),'Casos de Prueba'!L2:L200,"Bloqueado")</f>
        <v/>
      </c>
      <c r="F36" s="99">
        <f>COUNTIFS('Casos de Prueba'!B2:B200,LEFT($A36,FIND(" ",$A36&amp;" ")-1),'Casos de Prueba'!L2:L200,"Fallido",'Casos de Prueba'!E2:E200,"Crítica")+COUNTIFS('Casos de Prueba'!B2:B200,LEFT($A36,FIND(" ",$A36&amp;" ")-1),'Casos de Prueba'!L2:L200,"Bloqueado",'Casos de Prueba'!E2:E200,"Crítica")</f>
        <v/>
      </c>
      <c r="G36" s="99">
        <f>IF(B36=0,"Sin casos",IF(SUM(C36:E36)&lt;B36,"Pendiente",IF(D36+E36=0,"Pasa","No pasa")))</f>
        <v/>
      </c>
      <c r="H36" s="68" t="n"/>
    </row>
    <row r="37" ht="18.5" customHeight="1" s="33">
      <c r="A37" s="102" t="n"/>
      <c r="B37" s="102" t="n"/>
      <c r="C37" s="102" t="n"/>
      <c r="D37" s="102" t="n"/>
      <c r="E37" s="102" t="n"/>
      <c r="F37" s="102" t="n"/>
      <c r="G37" s="102" t="n"/>
      <c r="H37" s="68" t="n"/>
    </row>
    <row r="38" ht="51.9" customHeight="1" s="33">
      <c r="A38" s="103" t="inlineStr">
        <is>
          <t>Por qué falla cada historia: Matriz_de_Trazabilidad_RTM.xlsx, hoja Historias, columna «Por qué no pasa».</t>
        </is>
      </c>
      <c r="B38" s="68" t="n"/>
      <c r="C38" s="68" t="n"/>
      <c r="D38" s="68" t="n"/>
      <c r="E38" s="68" t="n"/>
      <c r="F38" s="68" t="n"/>
      <c r="G38" s="68" t="n"/>
      <c r="H38" s="68" t="n"/>
    </row>
    <row r="39" ht="51.9" customHeight="1" s="33">
      <c r="A39" s="103" t="inlineStr">
        <is>
          <t>La cobertura de requisitos se calcula en Matriz_de_Trazabilidad_RTM.xlsx (carpeta 05).</t>
        </is>
      </c>
      <c r="B39" s="68" t="n"/>
      <c r="C39" s="68" t="n"/>
      <c r="D39" s="68" t="n"/>
      <c r="E39" s="68" t="n"/>
      <c r="F39" s="68" t="n"/>
      <c r="G39" s="68" t="n"/>
      <c r="H39" s="68" t="n"/>
    </row>
    <row r="40" ht="35.9" customHeight="1" s="33">
      <c r="A40" s="103" t="inlineStr">
        <is>
          <t>Los defectos se registran en Registro_de_Defectos.xlsx (carpeta 04).</t>
        </is>
      </c>
      <c r="B40" s="68" t="n"/>
      <c r="C40" s="68" t="n"/>
      <c r="D40" s="68" t="n"/>
      <c r="E40" s="68" t="n"/>
      <c r="F40" s="68" t="n"/>
      <c r="G40" s="68" t="n"/>
      <c r="H40" s="68" t="n"/>
    </row>
    <row r="41" ht="18.5" customHeight="1" s="33">
      <c r="A41" s="104" t="inlineStr">
        <is>
          <t>Criterio de cierre: 100 % de los casos críticos aprobados, ningún defecto Crítico o Alto abierto y ningún requisito sin cubrir.</t>
        </is>
      </c>
      <c r="B41" s="110" t="n"/>
      <c r="C41" s="110" t="n"/>
      <c r="D41" s="110" t="n"/>
      <c r="E41" s="110" t="n"/>
      <c r="F41" s="110" t="n"/>
      <c r="G41" s="108" t="n"/>
      <c r="H41" s="68" t="n"/>
    </row>
    <row r="42" ht="18.5" customHeight="1" s="33">
      <c r="A42" s="72" t="inlineStr">
        <is>
          <t>Suite de regresión (hoja Regresión)</t>
        </is>
      </c>
      <c r="B42" s="68" t="n"/>
      <c r="C42" s="68" t="n"/>
      <c r="D42" s="68" t="n"/>
      <c r="E42" s="68" t="n"/>
      <c r="F42" s="68" t="n"/>
      <c r="G42" s="68" t="n"/>
      <c r="H42" s="68" t="n"/>
    </row>
    <row r="43" ht="18.5" customHeight="1" s="33">
      <c r="A43" s="98" t="inlineStr">
        <is>
          <t>Indicador</t>
        </is>
      </c>
      <c r="B43" s="98" t="inlineStr">
        <is>
          <t>Cantidad</t>
        </is>
      </c>
      <c r="C43" s="98" t="inlineStr">
        <is>
          <t>Aprobados</t>
        </is>
      </c>
      <c r="D43" s="98" t="inlineStr">
        <is>
          <t>Fallidos</t>
        </is>
      </c>
      <c r="E43" s="98" t="inlineStr">
        <is>
          <t>Pendientes</t>
        </is>
      </c>
      <c r="F43" s="68" t="n"/>
      <c r="G43" s="68" t="n"/>
      <c r="H43" s="68" t="n"/>
    </row>
    <row r="44" ht="18.5" customHeight="1" s="33">
      <c r="A44" s="99" t="inlineStr">
        <is>
          <t>Total</t>
        </is>
      </c>
      <c r="B44" s="99">
        <f>COUNTA(Regresión!A2:A200)</f>
        <v/>
      </c>
      <c r="C44" s="99">
        <f>COUNTIF(Regresión!M2:M200,"Aprobado")</f>
        <v/>
      </c>
      <c r="D44" s="99">
        <f>COUNTIF(Regresión!M2:M200,"Fallido")</f>
        <v/>
      </c>
      <c r="E44" s="99">
        <f>COUNTIF(Regresión!M2:M200,"Pendiente")</f>
        <v/>
      </c>
      <c r="F44" s="68" t="n"/>
      <c r="G44" s="68" t="n"/>
      <c r="H44" s="68" t="n"/>
    </row>
    <row r="45" ht="18.5" customHeight="1" s="33">
      <c r="A45" s="99" t="inlineStr">
        <is>
          <t>Humo</t>
        </is>
      </c>
      <c r="B45" s="99">
        <f>COUNTIF(Regresión!B2:B200,"Humo")</f>
        <v/>
      </c>
      <c r="C45" s="99">
        <f>COUNTIFS(Regresión!B2:B200,"Humo",Regresión!M2:M200,"Aprobado")</f>
        <v/>
      </c>
      <c r="D45" s="99">
        <f>COUNTIFS(Regresión!B2:B200,"Humo",Regresión!M2:M200,"Fallido")</f>
        <v/>
      </c>
      <c r="E45" s="99">
        <f>COUNTIFS(Regresión!B2:B200,"Humo",Regresión!M2:M200,"Pendiente")</f>
        <v/>
      </c>
      <c r="F45" s="68" t="n"/>
      <c r="G45" s="68" t="n"/>
      <c r="H45" s="68" t="n"/>
    </row>
    <row r="46" ht="18.5" customHeight="1" s="33">
      <c r="A46" s="99" t="inlineStr">
        <is>
          <t>Reprueba</t>
        </is>
      </c>
      <c r="B46" s="99">
        <f>COUNTIF(Regresión!B2:B200,"Reprueba")</f>
        <v/>
      </c>
      <c r="C46" s="99">
        <f>COUNTIFS(Regresión!B2:B200,"Reprueba",Regresión!M2:M200,"Aprobado")</f>
        <v/>
      </c>
      <c r="D46" s="99">
        <f>COUNTIFS(Regresión!B2:B200,"Reprueba",Regresión!M2:M200,"Fallido")</f>
        <v/>
      </c>
      <c r="E46" s="99">
        <f>COUNTIFS(Regresión!B2:B200,"Reprueba",Regresión!M2:M200,"Pendiente")</f>
        <v/>
      </c>
      <c r="F46" s="68" t="n"/>
      <c r="G46" s="68" t="n"/>
      <c r="H46" s="68" t="n"/>
    </row>
    <row r="47" ht="41.75" customHeight="1" s="33">
      <c r="A47" s="99" t="inlineStr">
        <is>
          <t>Regresión</t>
        </is>
      </c>
      <c r="B47" s="99">
        <f>COUNTIF(Regresión!B2:B200,"Regresión")</f>
        <v/>
      </c>
      <c r="C47" s="99">
        <f>COUNTIFS(Regresión!B2:B200,"Regresión",Regresión!M2:M200,"Aprobado")</f>
        <v/>
      </c>
      <c r="D47" s="99">
        <f>COUNTIFS(Regresión!B2:B200,"Regresión",Regresión!M2:M200,"Fallido")</f>
        <v/>
      </c>
      <c r="E47" s="99">
        <f>COUNTIFS(Regresión!B2:B200,"Regresión",Regresión!M2:M200,"Pendiente")</f>
        <v/>
      </c>
      <c r="F47" s="68" t="n"/>
      <c r="G47" s="68" t="n"/>
      <c r="H47" s="68" t="n"/>
    </row>
    <row r="48" ht="41.75" customHeight="1" s="33">
      <c r="A48" s="68" t="n"/>
      <c r="B48" s="68" t="n"/>
      <c r="C48" s="68" t="n"/>
      <c r="D48" s="68" t="n"/>
      <c r="E48" s="68" t="n"/>
      <c r="F48" s="68" t="n"/>
      <c r="G48" s="68" t="n"/>
      <c r="H48" s="68" t="n"/>
    </row>
    <row r="49" ht="28.35" customHeight="1" s="33">
      <c r="A49" s="97" t="inlineStr">
        <is>
          <t>La regresión se aprueba cuando el humo pasa completo, cada reprueba pasa y ningún caso de Regresión falla.</t>
        </is>
      </c>
      <c r="B49" s="68" t="n"/>
      <c r="C49" s="68" t="n"/>
      <c r="D49" s="68" t="n"/>
      <c r="E49" s="68" t="n"/>
      <c r="F49" s="68" t="n"/>
      <c r="G49" s="68" t="n"/>
      <c r="H49" s="68" t="n"/>
    </row>
    <row r="50" ht="18.5" customHeight="1" s="33">
      <c r="A50" s="68" t="n"/>
      <c r="B50" s="68" t="n"/>
      <c r="C50" s="68" t="n"/>
      <c r="D50" s="68" t="n"/>
      <c r="E50" s="68" t="n"/>
      <c r="F50" s="68" t="n"/>
      <c r="G50" s="68" t="n"/>
      <c r="H50" s="68" t="n"/>
    </row>
    <row r="51" ht="18.5" customHeight="1" s="33">
      <c r="A51" s="72" t="inlineStr">
        <is>
          <t>Suite de regresión por sprint</t>
        </is>
      </c>
      <c r="B51" s="68" t="n"/>
      <c r="C51" s="68" t="n"/>
      <c r="D51" s="68" t="n"/>
      <c r="E51" s="68" t="n"/>
      <c r="F51" s="68" t="n"/>
      <c r="G51" s="68" t="n"/>
      <c r="H51" s="68" t="n"/>
    </row>
    <row r="52" ht="18.5" customHeight="1" s="33">
      <c r="A52" s="98" t="inlineStr">
        <is>
          <t>Sprint</t>
        </is>
      </c>
      <c r="B52" s="98" t="inlineStr">
        <is>
          <t>Cantidad</t>
        </is>
      </c>
      <c r="C52" s="98" t="inlineStr">
        <is>
          <t>Aprobados</t>
        </is>
      </c>
      <c r="D52" s="98" t="inlineStr">
        <is>
          <t>Fallidos</t>
        </is>
      </c>
      <c r="E52" s="98" t="inlineStr">
        <is>
          <t>Pendientes</t>
        </is>
      </c>
      <c r="F52" s="68" t="n"/>
      <c r="G52" s="68" t="n"/>
      <c r="H52" s="68" t="n"/>
    </row>
    <row r="53" ht="18.5" customHeight="1" s="33">
      <c r="A53" s="99" t="inlineStr">
        <is>
          <t>Sprint 1</t>
        </is>
      </c>
      <c r="B53" s="99">
        <f>COUNTIF(Regresión!Q2:Q200,"Sprint 1")</f>
        <v/>
      </c>
      <c r="C53" s="99">
        <f>COUNTIFS(Regresión!Q2:Q200,"Sprint 1",Regresión!M2:M200,"Aprobado")</f>
        <v/>
      </c>
      <c r="D53" s="99">
        <f>COUNTIFS(Regresión!Q2:Q200,"Sprint 1",Regresión!M2:M200,"Fallido")</f>
        <v/>
      </c>
      <c r="E53" s="99">
        <f>COUNTIFS(Regresión!Q2:Q200,"Sprint 1",Regresión!M2:M200,"Pendiente")</f>
        <v/>
      </c>
      <c r="F53" s="68" t="n"/>
      <c r="G53" s="68" t="n"/>
      <c r="H53" s="68" t="n"/>
    </row>
    <row r="54" ht="18.5" customHeight="1" s="33">
      <c r="A54" s="97" t="inlineStr">
        <is>
          <t>La columna Q de la hoja Regresión dice a qué sprint pertenece cada caso de la suite.</t>
        </is>
      </c>
      <c r="B54" s="68" t="n"/>
      <c r="C54" s="68" t="n"/>
      <c r="D54" s="68" t="n"/>
      <c r="E54" s="68" t="n"/>
      <c r="F54" s="68" t="n"/>
      <c r="G54" s="68" t="n"/>
      <c r="H54" s="68" t="n"/>
    </row>
    <row r="55" ht="18.5" customHeight="1" s="33">
      <c r="A55" s="102" t="n"/>
      <c r="B55" s="102" t="n"/>
      <c r="C55" s="102" t="n"/>
      <c r="D55" s="102" t="n"/>
      <c r="E55" s="102" t="n"/>
      <c r="F55" s="102" t="n"/>
      <c r="G55" s="102" t="n"/>
      <c r="H55" s="68" t="n"/>
    </row>
    <row r="56" ht="18.5" customHeight="1" s="33">
      <c r="A56" s="72" t="inlineStr">
        <is>
          <t>Casos por historia y tipo</t>
        </is>
      </c>
      <c r="B56" s="102" t="n"/>
      <c r="C56" s="102" t="n"/>
      <c r="D56" s="102" t="n"/>
      <c r="E56" s="102" t="n"/>
      <c r="F56" s="102" t="n"/>
      <c r="G56" s="102" t="n"/>
      <c r="H56" s="68" t="n"/>
    </row>
    <row r="57" s="33">
      <c r="A57" s="98" t="inlineStr">
        <is>
          <t>Historia</t>
        </is>
      </c>
      <c r="B57" s="98" t="inlineStr">
        <is>
          <t>Funcional</t>
        </is>
      </c>
      <c r="C57" s="98" t="inlineStr">
        <is>
          <t>Seguridad</t>
        </is>
      </c>
      <c r="D57" s="98" t="inlineStr">
        <is>
          <t>Negativa</t>
        </is>
      </c>
      <c r="E57" s="98" t="inlineStr">
        <is>
          <t>E2E</t>
        </is>
      </c>
      <c r="F57" s="98" t="inlineStr">
        <is>
          <t>Límite</t>
        </is>
      </c>
      <c r="G57" s="98" t="inlineStr">
        <is>
          <t>Regresión</t>
        </is>
      </c>
      <c r="H57" s="98" t="inlineStr">
        <is>
          <t>Total</t>
        </is>
      </c>
    </row>
    <row r="58" ht="18.5" customHeight="1" s="33">
      <c r="A58" s="99" t="inlineStr">
        <is>
          <t>—</t>
        </is>
      </c>
      <c r="B58" s="99">
        <f>COUNTIFS('Casos de Prueba'!$B$2:$B$200,$A58,'Casos de Prueba'!$D$2:$D$200,B$57)</f>
        <v/>
      </c>
      <c r="C58" s="99">
        <f>COUNTIFS('Casos de Prueba'!$B$2:$B$200,$A58,'Casos de Prueba'!$D$2:$D$200,C$57)</f>
        <v/>
      </c>
      <c r="D58" s="99">
        <f>COUNTIFS('Casos de Prueba'!$B$2:$B$200,$A58,'Casos de Prueba'!$D$2:$D$200,D$57)</f>
        <v/>
      </c>
      <c r="E58" s="99">
        <f>COUNTIFS('Casos de Prueba'!$B$2:$B$200,$A58,'Casos de Prueba'!$D$2:$D$200,E$57)</f>
        <v/>
      </c>
      <c r="F58" s="99">
        <f>COUNTIFS('Casos de Prueba'!$B$2:$B$200,$A58,'Casos de Prueba'!$D$2:$D$200,F$57)</f>
        <v/>
      </c>
      <c r="G58" s="99">
        <f>COUNTIFS('Casos de Prueba'!$B$2:$B$200,$A58,'Casos de Prueba'!$D$2:$D$200,G$57)</f>
        <v/>
      </c>
      <c r="H58" s="99">
        <f>SUM(B58:G58)</f>
        <v/>
      </c>
    </row>
    <row r="59" s="33">
      <c r="A59" s="99" t="inlineStr">
        <is>
          <t>—</t>
        </is>
      </c>
      <c r="B59" s="99">
        <f>COUNTIFS('Casos de Prueba'!$B$2:$B$200,$A59,'Casos de Prueba'!$D$2:$D$200,B$57)</f>
        <v/>
      </c>
      <c r="C59" s="99">
        <f>COUNTIFS('Casos de Prueba'!$B$2:$B$200,$A59,'Casos de Prueba'!$D$2:$D$200,C$57)</f>
        <v/>
      </c>
      <c r="D59" s="99">
        <f>COUNTIFS('Casos de Prueba'!$B$2:$B$200,$A59,'Casos de Prueba'!$D$2:$D$200,D$57)</f>
        <v/>
      </c>
      <c r="E59" s="99">
        <f>COUNTIFS('Casos de Prueba'!$B$2:$B$200,$A59,'Casos de Prueba'!$D$2:$D$200,E$57)</f>
        <v/>
      </c>
      <c r="F59" s="99">
        <f>COUNTIFS('Casos de Prueba'!$B$2:$B$200,$A59,'Casos de Prueba'!$D$2:$D$200,F$57)</f>
        <v/>
      </c>
      <c r="G59" s="99">
        <f>COUNTIFS('Casos de Prueba'!$B$2:$B$200,$A59,'Casos de Prueba'!$D$2:$D$200,G$57)</f>
        <v/>
      </c>
      <c r="H59" s="99">
        <f>SUM(B59:G59)</f>
        <v/>
      </c>
    </row>
    <row r="60" ht="18.5" customHeight="1" s="33">
      <c r="A60" s="106" t="inlineStr">
        <is>
          <t>Total</t>
        </is>
      </c>
      <c r="B60" s="106">
        <f>SUM(B58:B59)</f>
        <v/>
      </c>
      <c r="C60" s="106">
        <f>SUM(C58:C59)</f>
        <v/>
      </c>
      <c r="D60" s="106">
        <f>SUM(D58:D59)</f>
        <v/>
      </c>
      <c r="E60" s="106">
        <f>SUM(E58:E59)</f>
        <v/>
      </c>
      <c r="F60" s="106">
        <f>SUM(F58:F59)</f>
        <v/>
      </c>
      <c r="G60" s="106">
        <f>SUM(G58:G59)</f>
        <v/>
      </c>
      <c r="H60" s="106">
        <f>SUM(H58:H59)</f>
        <v/>
      </c>
    </row>
    <row r="61" ht="51.9" customHeight="1" s="33">
      <c r="A61" s="107" t="inlineStr">
        <is>
          <t>Cada tipo sale de la columna Tipo de la hoja Casos de Prueba; agrega una fila por HU.</t>
        </is>
      </c>
      <c r="B61" s="102" t="n"/>
      <c r="C61" s="102" t="n"/>
      <c r="D61" s="102" t="n"/>
      <c r="E61" s="102" t="n"/>
      <c r="F61" s="102" t="n"/>
      <c r="G61" s="102" t="n"/>
      <c r="H61" s="102" t="n"/>
    </row>
    <row r="62" ht="18.5" customHeight="1" s="33">
      <c r="A62" s="102" t="n"/>
      <c r="B62" s="102" t="n"/>
      <c r="C62" s="102" t="n"/>
      <c r="D62" s="102" t="n"/>
      <c r="E62" s="102" t="n"/>
      <c r="F62" s="102" t="n"/>
      <c r="G62" s="102" t="n"/>
      <c r="H62" s="102" t="n"/>
    </row>
    <row r="63" ht="18.5" customHeight="1" s="33">
      <c r="A63" s="102" t="n"/>
      <c r="B63" s="102" t="n"/>
      <c r="C63" s="102" t="n"/>
      <c r="D63" s="102" t="n"/>
      <c r="E63" s="102" t="n"/>
      <c r="F63" s="102" t="n"/>
      <c r="G63" s="102" t="n"/>
      <c r="H63" s="102" t="n"/>
    </row>
    <row r="64" s="33">
      <c r="A64" s="102" t="n"/>
      <c r="B64" s="102" t="n"/>
      <c r="C64" s="102" t="n"/>
      <c r="D64" s="102" t="n"/>
      <c r="E64" s="102" t="n"/>
      <c r="F64" s="102" t="n"/>
      <c r="G64" s="102" t="n"/>
      <c r="H64" s="102" t="n"/>
    </row>
    <row r="65" s="33">
      <c r="A65" s="102" t="n"/>
      <c r="B65" s="102" t="n"/>
      <c r="C65" s="102" t="n"/>
      <c r="D65" s="102" t="n"/>
      <c r="E65" s="102" t="n"/>
      <c r="F65" s="102" t="n"/>
      <c r="G65" s="102" t="n"/>
      <c r="H65" s="102" t="n"/>
    </row>
    <row r="66" s="33">
      <c r="A66" s="102" t="n"/>
      <c r="B66" s="102" t="n"/>
      <c r="C66" s="102" t="n"/>
      <c r="D66" s="102" t="n"/>
      <c r="E66" s="102" t="n"/>
      <c r="F66" s="102" t="n"/>
      <c r="G66" s="102" t="n"/>
      <c r="H66" s="102" t="n"/>
    </row>
    <row r="67" s="33">
      <c r="A67" s="102" t="n"/>
      <c r="B67" s="102" t="n"/>
      <c r="C67" s="102" t="n"/>
      <c r="D67" s="102" t="n"/>
      <c r="E67" s="102" t="n"/>
      <c r="F67" s="102" t="n"/>
      <c r="G67" s="102" t="n"/>
      <c r="H67" s="102" t="n"/>
    </row>
    <row r="68" s="33">
      <c r="A68" s="102" t="n"/>
      <c r="B68" s="102" t="n"/>
      <c r="C68" s="102" t="n"/>
      <c r="D68" s="102" t="n"/>
      <c r="E68" s="102" t="n"/>
      <c r="F68" s="102" t="n"/>
      <c r="G68" s="102" t="n"/>
      <c r="H68" s="102" t="n"/>
    </row>
    <row r="69" s="33">
      <c r="A69" s="102" t="n"/>
      <c r="B69" s="102" t="n"/>
      <c r="C69" s="102" t="n"/>
      <c r="D69" s="102" t="n"/>
      <c r="E69" s="102" t="n"/>
      <c r="F69" s="102" t="n"/>
      <c r="G69" s="102" t="n"/>
      <c r="H69" s="102" t="n"/>
    </row>
    <row r="70" s="33">
      <c r="A70" s="102" t="n"/>
      <c r="B70" s="102" t="n"/>
      <c r="C70" s="102" t="n"/>
      <c r="D70" s="102" t="n"/>
      <c r="E70" s="102" t="n"/>
      <c r="F70" s="102" t="n"/>
      <c r="G70" s="102" t="n"/>
      <c r="H70" s="102" t="n"/>
    </row>
    <row r="71" s="33">
      <c r="A71" s="102" t="n"/>
      <c r="B71" s="102" t="n"/>
      <c r="C71" s="102" t="n"/>
      <c r="D71" s="102" t="n"/>
      <c r="E71" s="102" t="n"/>
      <c r="F71" s="102" t="n"/>
      <c r="G71" s="102" t="n"/>
      <c r="H71" s="102" t="n"/>
    </row>
    <row r="72" s="33">
      <c r="A72" s="102" t="n"/>
      <c r="B72" s="102" t="n"/>
      <c r="C72" s="102" t="n"/>
      <c r="D72" s="102" t="n"/>
      <c r="E72" s="102" t="n"/>
      <c r="F72" s="102" t="n"/>
      <c r="G72" s="102" t="n"/>
      <c r="H72" s="102" t="n"/>
    </row>
    <row r="73" s="33">
      <c r="A73" s="102" t="n"/>
      <c r="B73" s="102" t="n"/>
      <c r="C73" s="102" t="n"/>
      <c r="D73" s="102" t="n"/>
      <c r="E73" s="102" t="n"/>
      <c r="F73" s="102" t="n"/>
      <c r="G73" s="102" t="n"/>
      <c r="H73" s="102" t="n"/>
    </row>
    <row r="74" s="33">
      <c r="A74" s="102" t="n"/>
      <c r="B74" s="102" t="n"/>
      <c r="C74" s="102" t="n"/>
      <c r="D74" s="102" t="n"/>
      <c r="E74" s="102" t="n"/>
      <c r="F74" s="102" t="n"/>
      <c r="G74" s="102" t="n"/>
      <c r="H74" s="102" t="n"/>
    </row>
    <row r="75" s="33">
      <c r="A75" s="102" t="n"/>
      <c r="B75" s="102" t="n"/>
      <c r="C75" s="102" t="n"/>
      <c r="D75" s="102" t="n"/>
      <c r="E75" s="102" t="n"/>
      <c r="F75" s="102" t="n"/>
      <c r="G75" s="102" t="n"/>
      <c r="H75" s="102" t="n"/>
    </row>
    <row r="76" s="33">
      <c r="A76" s="102" t="n"/>
      <c r="B76" s="102" t="n"/>
      <c r="C76" s="102" t="n"/>
      <c r="D76" s="102" t="n"/>
      <c r="E76" s="102" t="n"/>
      <c r="F76" s="102" t="n"/>
      <c r="G76" s="102" t="n"/>
      <c r="H76" s="102" t="n"/>
    </row>
    <row r="77" s="33">
      <c r="A77" s="102" t="n"/>
      <c r="B77" s="102" t="n"/>
      <c r="C77" s="102" t="n"/>
      <c r="D77" s="102" t="n"/>
      <c r="E77" s="102" t="n"/>
      <c r="F77" s="102" t="n"/>
      <c r="G77" s="102" t="n"/>
      <c r="H77" s="102" t="n"/>
    </row>
    <row r="78" s="33">
      <c r="A78" s="102" t="n"/>
      <c r="B78" s="102" t="n"/>
      <c r="C78" s="102" t="n"/>
      <c r="D78" s="102" t="n"/>
      <c r="E78" s="102" t="n"/>
      <c r="F78" s="102" t="n"/>
      <c r="G78" s="102" t="n"/>
      <c r="H78" s="102" t="n"/>
    </row>
    <row r="79" s="33">
      <c r="A79" s="102" t="n"/>
      <c r="B79" s="102" t="n"/>
      <c r="C79" s="102" t="n"/>
      <c r="D79" s="102" t="n"/>
      <c r="E79" s="102" t="n"/>
      <c r="F79" s="102" t="n"/>
      <c r="G79" s="102" t="n"/>
      <c r="H79" s="102" t="n"/>
    </row>
    <row r="80" s="33">
      <c r="A80" s="102" t="n"/>
      <c r="B80" s="102" t="n"/>
      <c r="C80" s="102" t="n"/>
      <c r="D80" s="102" t="n"/>
      <c r="E80" s="102" t="n"/>
      <c r="F80" s="102" t="n"/>
      <c r="G80" s="102" t="n"/>
      <c r="H80" s="102" t="n"/>
    </row>
    <row r="81" s="33">
      <c r="A81" s="102" t="n"/>
      <c r="B81" s="102" t="n"/>
      <c r="C81" s="102" t="n"/>
      <c r="D81" s="102" t="n"/>
      <c r="E81" s="102" t="n"/>
      <c r="F81" s="102" t="n"/>
      <c r="G81" s="102" t="n"/>
      <c r="H81" s="102" t="n"/>
    </row>
    <row r="82" s="33">
      <c r="A82" s="102" t="n"/>
      <c r="B82" s="102" t="n"/>
      <c r="C82" s="102" t="n"/>
      <c r="D82" s="102" t="n"/>
      <c r="E82" s="102" t="n"/>
      <c r="F82" s="102" t="n"/>
      <c r="G82" s="102" t="n"/>
      <c r="H82" s="102" t="n"/>
    </row>
    <row r="83" s="33">
      <c r="A83" s="102" t="n"/>
      <c r="B83" s="102" t="n"/>
      <c r="C83" s="102" t="n"/>
      <c r="D83" s="102" t="n"/>
      <c r="E83" s="102" t="n"/>
      <c r="F83" s="102" t="n"/>
      <c r="G83" s="102" t="n"/>
      <c r="H83" s="102" t="n"/>
    </row>
    <row r="84" s="33">
      <c r="A84" s="102" t="n"/>
      <c r="B84" s="102" t="n"/>
      <c r="C84" s="102" t="n"/>
      <c r="D84" s="102" t="n"/>
      <c r="E84" s="102" t="n"/>
      <c r="F84" s="102" t="n"/>
      <c r="G84" s="102" t="n"/>
      <c r="H84" s="102" t="n"/>
    </row>
    <row r="85" s="33">
      <c r="A85" s="102" t="n"/>
      <c r="B85" s="102" t="n"/>
      <c r="C85" s="102" t="n"/>
      <c r="D85" s="102" t="n"/>
      <c r="E85" s="102" t="n"/>
      <c r="F85" s="102" t="n"/>
      <c r="G85" s="102" t="n"/>
      <c r="H85" s="102" t="n"/>
    </row>
    <row r="86" s="33">
      <c r="A86" s="102" t="n"/>
      <c r="B86" s="102" t="n"/>
      <c r="C86" s="102" t="n"/>
      <c r="D86" s="102" t="n"/>
      <c r="E86" s="102" t="n"/>
      <c r="F86" s="102" t="n"/>
      <c r="G86" s="102" t="n"/>
      <c r="H86" s="102" t="n"/>
    </row>
    <row r="87" s="33">
      <c r="A87" s="102" t="n"/>
      <c r="B87" s="102" t="n"/>
      <c r="C87" s="102" t="n"/>
      <c r="D87" s="102" t="n"/>
      <c r="E87" s="102" t="n"/>
      <c r="F87" s="102" t="n"/>
      <c r="G87" s="102" t="n"/>
      <c r="H87" s="102" t="n"/>
    </row>
    <row r="88" s="33">
      <c r="A88" s="102" t="n"/>
      <c r="B88" s="102" t="n"/>
      <c r="C88" s="102" t="n"/>
      <c r="D88" s="102" t="n"/>
      <c r="E88" s="102" t="n"/>
      <c r="F88" s="102" t="n"/>
      <c r="G88" s="102" t="n"/>
      <c r="H88" s="102" t="n"/>
    </row>
    <row r="89" s="33">
      <c r="A89" s="102" t="n"/>
      <c r="B89" s="102" t="n"/>
      <c r="C89" s="102" t="n"/>
      <c r="D89" s="102" t="n"/>
      <c r="E89" s="102" t="n"/>
      <c r="F89" s="102" t="n"/>
      <c r="G89" s="102" t="n"/>
      <c r="H89" s="102" t="n"/>
    </row>
    <row r="90" s="33">
      <c r="A90" s="102" t="n"/>
      <c r="B90" s="102" t="n"/>
      <c r="C90" s="102" t="n"/>
      <c r="D90" s="102" t="n"/>
      <c r="E90" s="102" t="n"/>
      <c r="F90" s="102" t="n"/>
      <c r="G90" s="102" t="n"/>
      <c r="H90" s="102" t="n"/>
    </row>
    <row r="91" s="33">
      <c r="A91" s="102" t="n"/>
      <c r="B91" s="102" t="n"/>
      <c r="C91" s="102" t="n"/>
      <c r="D91" s="102" t="n"/>
      <c r="E91" s="102" t="n"/>
      <c r="F91" s="102" t="n"/>
      <c r="G91" s="102" t="n"/>
      <c r="H91" s="102" t="n"/>
    </row>
    <row r="92" s="33">
      <c r="A92" s="102" t="n"/>
      <c r="B92" s="102" t="n"/>
      <c r="C92" s="102" t="n"/>
      <c r="D92" s="102" t="n"/>
      <c r="E92" s="102" t="n"/>
      <c r="F92" s="102" t="n"/>
      <c r="G92" s="102" t="n"/>
      <c r="H92" s="102" t="n"/>
    </row>
    <row r="93" s="33">
      <c r="A93" s="102" t="n"/>
      <c r="B93" s="102" t="n"/>
      <c r="C93" s="102" t="n"/>
      <c r="D93" s="102" t="n"/>
      <c r="E93" s="102" t="n"/>
      <c r="F93" s="102" t="n"/>
      <c r="G93" s="102" t="n"/>
      <c r="H93" s="102" t="n"/>
    </row>
    <row r="94" s="33">
      <c r="A94" s="102" t="n"/>
      <c r="B94" s="102" t="n"/>
      <c r="C94" s="102" t="n"/>
      <c r="D94" s="102" t="n"/>
      <c r="E94" s="102" t="n"/>
      <c r="F94" s="102" t="n"/>
      <c r="G94" s="102" t="n"/>
      <c r="H94" s="102" t="n"/>
    </row>
    <row r="95" s="33">
      <c r="A95" s="102" t="n"/>
      <c r="B95" s="102" t="n"/>
      <c r="C95" s="102" t="n"/>
      <c r="D95" s="102" t="n"/>
      <c r="E95" s="102" t="n"/>
      <c r="F95" s="102" t="n"/>
      <c r="G95" s="102" t="n"/>
      <c r="H95" s="102" t="n"/>
    </row>
    <row r="96" s="33">
      <c r="A96" s="102" t="n"/>
      <c r="B96" s="102" t="n"/>
      <c r="C96" s="102" t="n"/>
      <c r="D96" s="102" t="n"/>
      <c r="E96" s="102" t="n"/>
      <c r="F96" s="102" t="n"/>
      <c r="G96" s="102" t="n"/>
      <c r="H96" s="102" t="n"/>
    </row>
    <row r="97" s="33">
      <c r="A97" s="102" t="n"/>
      <c r="B97" s="102" t="n"/>
      <c r="C97" s="102" t="n"/>
      <c r="D97" s="102" t="n"/>
      <c r="E97" s="102" t="n"/>
      <c r="F97" s="102" t="n"/>
      <c r="G97" s="102" t="n"/>
      <c r="H97" s="102" t="n"/>
    </row>
    <row r="98" s="33">
      <c r="A98" s="102" t="n"/>
      <c r="B98" s="102" t="n"/>
      <c r="C98" s="102" t="n"/>
      <c r="D98" s="102" t="n"/>
      <c r="E98" s="102" t="n"/>
      <c r="F98" s="102" t="n"/>
      <c r="G98" s="102" t="n"/>
      <c r="H98" s="102" t="n"/>
    </row>
    <row r="99" s="33">
      <c r="A99" s="102" t="n"/>
      <c r="B99" s="102" t="n"/>
      <c r="C99" s="102" t="n"/>
      <c r="D99" s="102" t="n"/>
      <c r="E99" s="102" t="n"/>
      <c r="F99" s="102" t="n"/>
      <c r="G99" s="102" t="n"/>
      <c r="H99" s="102" t="n"/>
    </row>
  </sheetData>
  <mergeCells count="1">
    <mergeCell ref="A41:G41"/>
  </mergeCells>
  <conditionalFormatting sqref="G35:G36">
    <cfRule type="cellIs" priority="1" operator="equal" dxfId="11">
      <formula>"No pasa"</formula>
    </cfRule>
    <cfRule type="cellIs" priority="2" operator="equal" dxfId="12">
      <formula>"Pasa"</formula>
    </cfRule>
    <cfRule type="cellIs" priority="3" operator="equal" dxfId="13">
      <formula>"Pendiente"</formula>
    </cfRule>
    <cfRule type="cellIs" priority="4" operator="equal" dxfId="14">
      <formula>"Sin casos"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2026-10-23T19:07:16Z</dcterms:created>
  <dcterms:modified xmlns:dcterms="http://purl.org/dc/terms/" xmlns:xsi="http://www.w3.org/2001/XMLSchema-instance" xsi:type="dcterms:W3CDTF">2026-10-26T22:04:24Z</dcterms:modified>
  <cp:lastModifiedBy>Desarrollo Ceneris</cp:lastModifiedBy>
  <cp:revision>0</cp:revision>
</cp:coreProperties>
</file>