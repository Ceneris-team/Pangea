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Regresión" sheetId="3" state="visible" r:id="rId3"/>
    <sheet xmlns:r="http://schemas.openxmlformats.org/officeDocument/2006/relationships" name="Escenarios Estrés y Carga" sheetId="4" state="visible" r:id="rId4"/>
    <sheet xmlns:r="http://schemas.openxmlformats.org/officeDocument/2006/relationships" name="Pruebas No Funcionales" sheetId="5" state="visible" r:id="rId5"/>
    <sheet xmlns:r="http://schemas.openxmlformats.org/officeDocument/2006/relationships" name="Resumen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3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2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Arial"/>
      <family val="2"/>
      <sz val="10"/>
    </font>
    <font>
      <b val="1"/>
    </font>
    <font>
      <b val="1"/>
      <i val="1"/>
      <color rgb="002B6763"/>
    </font>
    <font>
      <name val="Segoe UI"/>
      <charset val="1"/>
      <family val="0"/>
      <b val="1"/>
      <color rgb="002B6763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2B6763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sz val="10"/>
    </font>
    <font>
      <name val="Segoe UI"/>
      <b val="1"/>
      <i val="1"/>
      <color rgb="002B6763"/>
    </font>
    <font>
      <name val="Segoe UI"/>
      <charset val="1"/>
      <family val="0"/>
      <b val="1"/>
      <color rgb="002B6763"/>
      <sz val="12"/>
    </font>
    <font>
      <name val="Segoe UI"/>
      <charset val="1"/>
      <family val="0"/>
      <b val="1"/>
      <color rgb="FFFFFFFF"/>
      <sz val="11"/>
    </font>
    <font>
      <name val="Segoe UI"/>
      <charset val="1"/>
      <family val="0"/>
      <b val="1"/>
      <color rgb="002B6763"/>
      <sz val="16"/>
    </font>
    <font>
      <name val="Segoe UI"/>
      <charset val="1"/>
      <family val="0"/>
      <color rgb="005F6870"/>
      <sz val="10"/>
    </font>
    <font>
      <name val="Segoe UI"/>
      <charset val="1"/>
      <family val="2"/>
      <color rgb="002A2F33"/>
      <sz val="11"/>
    </font>
    <font>
      <name val="Segoe UI"/>
      <b val="1"/>
      <color rgb="002A2F33"/>
    </font>
    <font>
      <i val="1"/>
      <color rgb="005F6870"/>
      <sz val="9"/>
    </font>
    <font>
      <name val="Segoe UI"/>
      <i val="1"/>
      <color rgb="005F6870"/>
      <sz val="9"/>
    </font>
  </fonts>
  <fills count="19">
    <fill>
      <patternFill/>
    </fill>
    <fill>
      <patternFill patternType="gray125"/>
    </fill>
    <fill>
      <patternFill patternType="solid">
        <fgColor rgb="FFDCE4F2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D9D9D9"/>
        <bgColor rgb="FFDCE4F2"/>
      </patternFill>
    </fill>
    <fill>
      <patternFill patternType="solid">
        <fgColor rgb="FFDDEBF7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00E3EFED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F8E1DE"/>
      </patternFill>
    </fill>
    <fill>
      <patternFill patternType="solid">
        <fgColor rgb="00FBEFC8"/>
      </patternFill>
    </fill>
    <fill>
      <patternFill patternType="solid">
        <fgColor rgb="00E4E7EA"/>
      </patternFill>
    </fill>
    <fill>
      <patternFill patternType="solid">
        <fgColor rgb="002B6763"/>
      </patternFill>
    </fill>
    <fill>
      <patternFill patternType="solid">
        <fgColor rgb="00FDF6E3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  <border>
      <left/>
      <right style="thin">
        <color rgb="00D5DADE"/>
      </right>
      <top/>
      <bottom style="thin">
        <color rgb="00D5DADE"/>
      </bottom>
    </border>
    <border>
      <left/>
      <right style="thin">
        <color rgb="00D5DADE"/>
      </right>
      <top style="thin">
        <color rgb="00D5DADE"/>
      </top>
      <bottom style="thin">
        <color rgb="00D5DADE"/>
      </bottom>
    </border>
    <border>
      <left/>
      <right/>
      <top/>
      <bottom style="thin">
        <color rgb="00D5DADE"/>
      </bottom>
    </border>
    <border>
      <left/>
      <right style="thin">
        <color rgb="00D5DADE"/>
      </right>
      <top/>
      <bottom/>
      <diagonal/>
    </border>
    <border>
      <left/>
      <right style="thin">
        <color rgb="00D5DADE"/>
      </right>
      <top/>
      <bottom style="thin">
        <color rgb="00D5DADE"/>
      </bottom>
      <diagonal/>
    </border>
    <border>
      <left/>
      <right/>
      <top style="thin">
        <color rgb="00D5DADE"/>
      </top>
      <bottom/>
      <diagonal/>
    </border>
    <border>
      <left/>
      <right style="thin">
        <color rgb="00D5DADE"/>
      </right>
      <top style="thin">
        <color rgb="00D5DADE"/>
      </top>
      <bottom/>
      <diagonal/>
    </border>
    <border>
      <left/>
      <right style="thin">
        <color rgb="00D5DADE"/>
      </right>
      <top style="thin">
        <color rgb="00D5DADE"/>
      </top>
      <bottom style="thin">
        <color rgb="00D5DADE"/>
      </bottom>
      <diagonal/>
    </border>
    <border>
      <left/>
      <right/>
      <top/>
      <bottom style="thin">
        <color rgb="00D5DA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10" fillId="9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9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0" fillId="0" borderId="2" pivotButton="0" quotePrefix="0" xfId="0"/>
    <xf numFmtId="0" fontId="10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7" fillId="1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9" borderId="1" applyAlignment="1" pivotButton="0" quotePrefix="0" xfId="0">
      <alignment horizontal="general" vertical="top" wrapText="1"/>
    </xf>
    <xf numFmtId="0" fontId="0" fillId="0" borderId="6" pivotButton="0" quotePrefix="0" xfId="0"/>
    <xf numFmtId="0" fontId="7" fillId="5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7" pivotButton="0" quotePrefix="0" xfId="0"/>
    <xf numFmtId="0" fontId="18" fillId="0" borderId="0" applyAlignment="1" pivotButton="0" quotePrefix="0" xfId="0">
      <alignment horizontal="general" vertical="top"/>
    </xf>
    <xf numFmtId="0" fontId="19" fillId="0" borderId="0" pivotButton="0" quotePrefix="0" xfId="0"/>
    <xf numFmtId="0" fontId="20" fillId="0" borderId="0" applyAlignment="1" pivotButton="0" quotePrefix="0" xfId="0">
      <alignment horizontal="general" vertical="top"/>
    </xf>
    <xf numFmtId="0" fontId="21" fillId="11" borderId="8" applyAlignment="1" pivotButton="0" quotePrefix="0" xfId="0">
      <alignment horizontal="general" vertical="top"/>
    </xf>
    <xf numFmtId="0" fontId="22" fillId="0" borderId="8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/>
    </xf>
    <xf numFmtId="0" fontId="21" fillId="0" borderId="8" applyAlignment="1" pivotButton="0" quotePrefix="0" xfId="0">
      <alignment horizontal="general" vertical="top"/>
    </xf>
    <xf numFmtId="0" fontId="21" fillId="12" borderId="8" applyAlignment="1" pivotButton="0" quotePrefix="0" xfId="0">
      <alignment horizontal="general" vertical="top"/>
    </xf>
    <xf numFmtId="0" fontId="21" fillId="13" borderId="8" applyAlignment="1" pivotButton="0" quotePrefix="0" xfId="0">
      <alignment horizontal="general" vertical="top"/>
    </xf>
    <xf numFmtId="0" fontId="21" fillId="14" borderId="8" applyAlignment="1" pivotButton="0" quotePrefix="0" xfId="0">
      <alignment horizontal="general" vertical="top"/>
    </xf>
    <xf numFmtId="0" fontId="21" fillId="15" borderId="8" applyAlignment="1" pivotButton="0" quotePrefix="0" xfId="0">
      <alignment horizontal="general" vertical="top"/>
    </xf>
    <xf numFmtId="0" fontId="21" fillId="16" borderId="8" applyAlignment="1" pivotButton="0" quotePrefix="0" xfId="0">
      <alignment horizontal="general" vertical="top"/>
    </xf>
    <xf numFmtId="0" fontId="24" fillId="0" borderId="9" applyAlignment="1" pivotButton="0" quotePrefix="0" xfId="0">
      <alignment horizontal="general" vertical="top" wrapText="1"/>
    </xf>
    <xf numFmtId="0" fontId="19" fillId="0" borderId="9" pivotButton="0" quotePrefix="0" xfId="0"/>
    <xf numFmtId="0" fontId="25" fillId="17" borderId="8" applyAlignment="1" pivotButton="0" quotePrefix="0" xfId="0">
      <alignment horizontal="center" vertical="top" wrapText="1"/>
    </xf>
    <xf numFmtId="0" fontId="22" fillId="18" borderId="8" applyAlignment="1" pivotButton="0" quotePrefix="0" xfId="0">
      <alignment horizontal="general" vertical="top" wrapText="1"/>
    </xf>
    <xf numFmtId="0" fontId="22" fillId="13" borderId="8" applyAlignment="1" pivotButton="0" quotePrefix="0" xfId="0">
      <alignment horizontal="general" vertical="top" wrapText="1"/>
    </xf>
    <xf numFmtId="0" fontId="26" fillId="0" borderId="8" applyAlignment="1" pivotButton="0" quotePrefix="0" xfId="0">
      <alignment horizontal="general" vertical="top" wrapText="1"/>
    </xf>
    <xf numFmtId="0" fontId="26" fillId="0" borderId="8" applyAlignment="1" pivotButton="0" quotePrefix="0" xfId="0">
      <alignment horizontal="center" vertical="top" wrapText="1"/>
    </xf>
    <xf numFmtId="0" fontId="22" fillId="16" borderId="8" applyAlignment="1" pivotButton="0" quotePrefix="0" xfId="0">
      <alignment horizontal="general" vertical="top" wrapText="1"/>
    </xf>
    <xf numFmtId="0" fontId="26" fillId="18" borderId="8" applyAlignment="1" pivotButton="0" quotePrefix="0" xfId="0">
      <alignment horizontal="general" vertical="top" wrapText="1"/>
    </xf>
    <xf numFmtId="0" fontId="26" fillId="16" borderId="8" applyAlignment="1" pivotButton="0" quotePrefix="0" xfId="0">
      <alignment horizontal="general" vertical="top" wrapText="1"/>
    </xf>
    <xf numFmtId="0" fontId="26" fillId="13" borderId="8" applyAlignment="1" pivotButton="0" quotePrefix="0" xfId="0">
      <alignment horizontal="general" vertical="top" wrapText="1"/>
    </xf>
    <xf numFmtId="0" fontId="26" fillId="14" borderId="8" applyAlignment="1" pivotButton="0" quotePrefix="0" xfId="0">
      <alignment horizontal="general" vertical="top" wrapText="1"/>
    </xf>
    <xf numFmtId="0" fontId="27" fillId="0" borderId="0" applyAlignment="1" pivotButton="0" quotePrefix="0" xfId="0">
      <alignment vertical="top" wrapText="1"/>
    </xf>
    <xf numFmtId="0" fontId="28" fillId="0" borderId="0" applyAlignment="1" pivotButton="0" quotePrefix="0" xfId="0">
      <alignment horizontal="general" vertical="top"/>
    </xf>
    <xf numFmtId="0" fontId="29" fillId="17" borderId="8" applyAlignment="1" pivotButton="0" quotePrefix="0" xfId="0">
      <alignment horizontal="general" vertical="top" wrapText="1"/>
    </xf>
    <xf numFmtId="0" fontId="19" fillId="0" borderId="10" pivotButton="0" quotePrefix="0" xfId="0"/>
    <xf numFmtId="0" fontId="26" fillId="14" borderId="8" applyAlignment="1" pivotButton="0" quotePrefix="0" xfId="0">
      <alignment horizontal="center" vertical="top" wrapText="1"/>
    </xf>
    <xf numFmtId="0" fontId="30" fillId="0" borderId="0" applyAlignment="1" pivotButton="0" quotePrefix="0" xfId="0">
      <alignment horizontal="general" vertical="top"/>
    </xf>
    <xf numFmtId="0" fontId="31" fillId="0" borderId="0" applyAlignment="1" pivotButton="0" quotePrefix="0" xfId="0">
      <alignment horizontal="general" vertical="top"/>
    </xf>
    <xf numFmtId="0" fontId="25" fillId="17" borderId="8" applyAlignment="1" pivotButton="0" quotePrefix="0" xfId="0">
      <alignment horizontal="general" vertical="top"/>
    </xf>
    <xf numFmtId="0" fontId="22" fillId="0" borderId="8" applyAlignment="1" pivotButton="0" quotePrefix="0" xfId="0">
      <alignment horizontal="general" vertical="top"/>
    </xf>
    <xf numFmtId="0" fontId="19" fillId="0" borderId="8" applyAlignment="1" pivotButton="0" quotePrefix="0" xfId="0">
      <alignment horizontal="general" vertical="bottom"/>
    </xf>
    <xf numFmtId="164" fontId="22" fillId="0" borderId="8" applyAlignment="1" pivotButton="0" quotePrefix="0" xfId="0">
      <alignment horizontal="general" vertical="top"/>
    </xf>
    <xf numFmtId="0" fontId="19" fillId="0" borderId="0" applyAlignment="1" pivotButton="0" quotePrefix="0" xfId="0">
      <alignment horizontal="general" vertical="bottom"/>
    </xf>
    <xf numFmtId="0" fontId="32" fillId="0" borderId="8" applyAlignment="1" pivotButton="0" quotePrefix="0" xfId="0">
      <alignment horizontal="general" vertical="top" wrapText="1"/>
    </xf>
    <xf numFmtId="0" fontId="32" fillId="0" borderId="9" applyAlignment="1" pivotButton="0" quotePrefix="0" xfId="0">
      <alignment horizontal="general" vertical="top"/>
    </xf>
    <xf numFmtId="0" fontId="19" fillId="0" borderId="11" pivotButton="0" quotePrefix="0" xfId="0"/>
    <xf numFmtId="0" fontId="33" fillId="0" borderId="8" applyAlignment="1" pivotButton="0" quotePrefix="0" xfId="0">
      <alignment horizontal="general" vertical="top"/>
    </xf>
    <xf numFmtId="0" fontId="35" fillId="0" borderId="0" applyAlignment="1" pivotButton="0" quotePrefix="0" xfId="0">
      <alignment horizontal="general" vertical="top"/>
    </xf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FF9999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DE1F5"/>
        </patternFill>
      </fill>
    </dxf>
    <dxf>
      <fill>
        <patternFill patternType="solid">
          <bgColor rgb="00F8E1DE"/>
        </patternFill>
      </fill>
    </dxf>
    <dxf>
      <fill>
        <patternFill patternType="solid">
          <bgColor rgb="00E2F0E5"/>
        </patternFill>
      </fill>
    </dxf>
    <dxf>
      <fill>
        <patternFill patternType="solid">
          <bgColor rgb="00FBEFC8"/>
        </patternFill>
      </fill>
    </dxf>
    <dxf>
      <fill>
        <patternFill patternType="solid">
          <bgColor rgb="00F3F4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CE4F2"/>
      <rgbColor rgb="FFFF9999"/>
      <rgbColor rgb="FFEDE1F5"/>
      <rgbColor rgb="FFFFC7CE"/>
      <rgbColor rgb="FF3366FF"/>
      <rgbColor rgb="FF33CCCC"/>
      <rgbColor rgb="FF99CC00"/>
      <rgbColor rgb="FFFCE4D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'Resumen'!A58</f>
            </strRef>
          </tx>
          <spPr>
            <a:solidFill xmlns:a="http://schemas.openxmlformats.org/drawingml/2006/main">
              <a:srgbClr val="2B6763"/>
            </a:solidFill>
            <a:ln xmlns:a="http://schemas.openxmlformats.org/drawingml/2006/main">
              <a:solidFill>
                <a:srgbClr val="2B6763"/>
              </a:solidFill>
              <a:prstDash val="solid"/>
            </a:ln>
          </spPr>
          <cat>
            <numRef>
              <f>'Resumen'!$B$57:$G$57</f>
            </numRef>
          </cat>
          <val>
            <numRef>
              <f>'Resumen'!$B$58:$G$58</f>
            </numRef>
          </val>
        </ser>
        <ser>
          <idx val="1"/>
          <order val="1"/>
          <tx>
            <strRef>
              <f>'Resumen'!A59</f>
            </strRef>
          </tx>
          <spPr>
            <a:solidFill xmlns:a="http://schemas.openxmlformats.org/drawingml/2006/main">
              <a:srgbClr val="8DBDB7"/>
            </a:solidFill>
            <a:ln xmlns:a="http://schemas.openxmlformats.org/drawingml/2006/main">
              <a:solidFill>
                <a:srgbClr val="8DBDB7"/>
              </a:solidFill>
              <a:prstDash val="solid"/>
            </a:ln>
          </spPr>
          <cat>
            <numRef>
              <f>'Resumen'!$B$57:$G$57</f>
            </numRef>
          </cat>
          <val>
            <numRef>
              <f>'Resumen'!$B$59:$G$59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  <majorUnit val="2"/>
      </valAx>
    </plotArea>
    <legend>
      <legendPos val="t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</authors>
  <commentList>
    <comment ref="A34" authorId="0" shapeId="0">
      <text>
        <t>Escribe en la columna A el ID de la historia seguido de la HU (ej.: «SIG-31 HU-02»). La primera palabra es la clave con la que se cuentan los casos de la hoja Casos de Prueba (columna Historia).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B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55" activeCellId="0" sqref="A55"/>
    </sheetView>
  </sheetViews>
  <sheetFormatPr baseColWidth="8" defaultColWidth="8.6796875" defaultRowHeight="15" zeroHeight="0" outlineLevelRow="0"/>
  <cols>
    <col width="30" customWidth="1" style="32" min="1" max="1"/>
    <col width="95" customWidth="1" style="32" min="2" max="2"/>
  </cols>
  <sheetData>
    <row r="1" ht="23.25" customHeight="1" s="33">
      <c r="A1" s="67" t="inlineStr">
        <is>
          <t>Casos de Prueba</t>
        </is>
      </c>
      <c r="B1" s="68" t="n"/>
    </row>
    <row r="2" ht="18.5" customHeight="1" s="33">
      <c r="A2" s="69" t="inlineStr">
        <is>
          <t>Pangea (tablero PP)</t>
        </is>
      </c>
      <c r="B2" s="68" t="n"/>
    </row>
    <row r="3" s="33">
      <c r="A3" s="68" t="n"/>
      <c r="B3" s="68" t="n"/>
    </row>
    <row r="4" ht="18.5" customHeight="1" s="33">
      <c r="A4" s="70" t="inlineStr">
        <is>
          <t>Entregable</t>
        </is>
      </c>
      <c r="B4" s="71" t="inlineStr">
        <is>
          <t>Matriz de Responsabilidades de Documentación - rol Aseguramiento de Calidad (QA)</t>
        </is>
      </c>
    </row>
    <row r="5" ht="33" customHeight="1" s="33">
      <c r="A5" s="70" t="inlineStr">
        <is>
          <t>Documentos que cubre</t>
        </is>
      </c>
      <c r="B5" s="71" t="inlineStr">
        <is>
          <t>Casos de prueba funcionales de las historias HT-06 (ronda 1: 29 casos), HU-18 Desactivar dispositivo (ronda 2: 29 casos, 29 aprobados; en la ronda 1 fallaron 2 por DEF-04, ya corregido); las pruebas no funcionales no aplican en estas rondas., HU-26 Añadir ubicaciones al panel (ronda 1: 31 casos) y HU-34 Personalizar widgets del panel (ronda 1: 38 casos).</t>
        </is>
      </c>
    </row>
    <row r="6" ht="18.5" customHeight="1" s="33">
      <c r="A6" s="70" t="inlineStr">
        <is>
          <t>Responsable</t>
        </is>
      </c>
      <c r="B6" s="71" t="inlineStr">
        <is>
          <t>Elliot (JS en Jira), QA / Tester</t>
        </is>
      </c>
    </row>
    <row r="7" ht="18.5" customHeight="1" s="33">
      <c r="A7" s="70" t="inlineStr">
        <is>
          <t>Versión</t>
        </is>
      </c>
      <c r="B7" s="71" t="inlineStr">
        <is>
          <t>0.5</t>
        </is>
      </c>
    </row>
    <row r="8" ht="33" customHeight="1" s="33">
      <c r="A8" s="70" t="inlineStr">
        <is>
          <t>Fecha de elaboración</t>
        </is>
      </c>
      <c r="B8" s="71" t="inlineStr">
        <is>
          <t>30/10/2026 · Ronda 1 de HT-06, ronda 2 de HU-18, ronda 1 de HU-26 y ronda 1 de HU-34</t>
        </is>
      </c>
    </row>
    <row r="9" ht="18.5" customHeight="1" s="33">
      <c r="A9" s="70" t="inlineStr">
        <is>
          <t>Estado</t>
        </is>
      </c>
      <c r="B9" s="71" t="inlineStr">
        <is>
          <t>Borrador (X)     En revisión ( )     Aprobado ( )</t>
        </is>
      </c>
    </row>
    <row r="10" ht="18.5" customHeight="1" s="33">
      <c r="A10" s="70" t="inlineStr">
        <is>
          <t>Aprobado por</t>
        </is>
      </c>
      <c r="B10" s="71" t="inlineStr">
        <is>
          <t>Scrum Master  /  Product Owner de Pangea</t>
        </is>
      </c>
    </row>
    <row r="11" s="33">
      <c r="A11" s="68" t="n"/>
      <c r="B11" s="68" t="n"/>
    </row>
    <row r="12" ht="18.5" customHeight="1" s="33">
      <c r="A12" s="72" t="inlineStr">
        <is>
          <t>Cómo se usa este libro</t>
        </is>
      </c>
      <c r="B12" s="68" t="n"/>
    </row>
    <row r="13" s="33">
      <c r="A13" s="68" t="n"/>
      <c r="B13" s="68" t="n"/>
    </row>
    <row r="14" ht="62" customHeight="1" s="33">
      <c r="A14" s="73" t="inlineStr">
        <is>
          <t>Casos de Prueba</t>
        </is>
      </c>
      <c r="B14" s="71" t="inlineStr">
        <is>
          <t>Casos funcionales. Antes de ejecutar se escriben todas las columnas blancas. Durante la ejecución se llenan las amarillas: Resultado obtenido, Estado, Defecto, Evidencia, Ejecutado por y Fecha. Test automatizado, Entorno y Commit probado dicen qué prueba respalda el caso, contra qué se ejecutó y sobre qué versión del código.</t>
        </is>
      </c>
    </row>
    <row r="15" ht="91" customHeight="1" s="33">
      <c r="A15" s="73" t="inlineStr">
        <is>
          <t>Pruebas No Funcionales</t>
        </is>
      </c>
      <c r="B15" s="71" t="inlineStr">
        <is>
          <t>Miden cómo se comporta el sistema (rapidez, aguante, límites, recuperación), no qué hace. Cada fila tiene su Tipo; ver la leyenda más abajo. Si no aplica en un ciclo, la hoja (y Escenarios Estrés y Carga) se deja visible con la nota «No aplica en este ciclo».</t>
        </is>
      </c>
    </row>
    <row r="16" ht="47.5" customHeight="1" s="33">
      <c r="A16" s="73" t="inlineStr">
        <is>
          <t>Regresión</t>
        </is>
      </c>
      <c r="B16" s="71" t="inlineStr">
        <is>
          <t>Suite para repetir cuando se corrigen defectos. Humo: flujo principal de cada historia, va primero. Reprueba: los casos que fallaron, se repiten cuando su defecto pasa a «Corregido». Regresión: casos Críticos y Altos que ya pasan, para comprobar que la corrección no rompió nada.</t>
        </is>
      </c>
    </row>
    <row r="17" ht="33" customHeight="1" s="33">
      <c r="A17" s="73" t="inlineStr">
        <is>
          <t>Resumen</t>
        </is>
      </c>
      <c r="B17" s="71" t="inlineStr">
        <is>
          <t>Se calcula solo a partir de las hojas Casos de Prueba, Pruebas No Funcionales y Regresión. No escribir en ella.</t>
        </is>
      </c>
    </row>
    <row r="18" ht="47.5" customHeight="1" s="33">
      <c r="A18" s="73" t="inlineStr">
        <is>
          <t>Usuarios de prueba</t>
        </is>
      </c>
      <c r="B18" s="71" t="inlineStr">
        <is>
          <t>HT-06: sin cuentas de prueba (configuración, repositorio e infraestructura). HU-18: usuarios simulados en pytest y las cuentas del seed local (admin, tecnico y cliente en pangea-dev.com), solo en la BD local pangea_e2e; se descartan al terminar. Las claves no se escriben en este libro. HU-26 y HU-34: usuarios simulados en pytest y la cuenta cliente del seed local, solo en pangea_e2e.</t>
        </is>
      </c>
    </row>
    <row r="19" ht="33" customHeight="1" s="33">
      <c r="A19" s="73" t="inlineStr">
        <is>
          <t>Evidencias</t>
        </is>
      </c>
      <c r="B19" s="71" t="inlineStr">
        <is>
          <t>Al ejecutar un caso se escribe en la columna Evidencia el ID del archivo (EV-CP-xxx) registrado en Registro_de_Evidencias.xlsx (carpeta 03).</t>
        </is>
      </c>
    </row>
    <row r="20" s="33">
      <c r="A20" s="68" t="n"/>
      <c r="B20" s="68" t="n"/>
    </row>
    <row r="21" ht="18.5" customHeight="1" s="33">
      <c r="A21" s="72" t="inlineStr">
        <is>
          <t>Leyenda de Estado</t>
        </is>
      </c>
      <c r="B21" s="68" t="n"/>
    </row>
    <row r="22" s="33">
      <c r="A22" s="68" t="n"/>
      <c r="B22" s="68" t="n"/>
    </row>
    <row r="23" ht="18.5" customHeight="1" s="33">
      <c r="A23" s="74" t="inlineStr">
        <is>
          <t>Pendiente</t>
        </is>
      </c>
      <c r="B23" s="71" t="inlineStr">
        <is>
          <t>Todavía no se ejecuta.</t>
        </is>
      </c>
    </row>
    <row r="24" ht="18.5" customHeight="1" s="33">
      <c r="A24" s="75" t="inlineStr">
        <is>
          <t>Aprobado</t>
        </is>
      </c>
      <c r="B24" s="71" t="inlineStr">
        <is>
          <t>El resultado obtenido coincide con el esperado.</t>
        </is>
      </c>
    </row>
    <row r="25" ht="18.5" customHeight="1" s="33">
      <c r="A25" s="76" t="inlineStr">
        <is>
          <t>Fallido</t>
        </is>
      </c>
      <c r="B25" s="71" t="inlineStr">
        <is>
          <t>No coincide. Debe existir un número de defecto (DEF-xx) en la columna Defecto.</t>
        </is>
      </c>
    </row>
    <row r="26" ht="18.5" customHeight="1" s="33">
      <c r="A26" s="77" t="inlineStr">
        <is>
          <t>Bloqueado</t>
        </is>
      </c>
      <c r="B26" s="71" t="inlineStr">
        <is>
          <t>No se pudo ejecutar por una causa externa: HU sin desarrollar, ambiente caído o dato no disponible.</t>
        </is>
      </c>
    </row>
    <row r="27" ht="18.5" customHeight="1" s="33">
      <c r="A27" s="78" t="inlineStr">
        <is>
          <t>No aplica</t>
        </is>
      </c>
      <c r="B27" s="71" t="inlineStr">
        <is>
          <t>La funcionalidad no está en esta versión.</t>
        </is>
      </c>
    </row>
    <row r="28" s="33">
      <c r="A28" s="68" t="n"/>
      <c r="B28" s="68" t="n"/>
    </row>
    <row r="29" ht="18.5" customHeight="1" s="33">
      <c r="A29" s="72" t="inlineStr">
        <is>
          <t>Tipos de prueba no funcional (hoja Pruebas No Funcionales)</t>
        </is>
      </c>
      <c r="B29" s="68" t="n"/>
    </row>
    <row r="30" s="33">
      <c r="A30" s="68" t="n"/>
      <c r="B30" s="68" t="n"/>
    </row>
    <row r="31" ht="18.5" customHeight="1" s="33">
      <c r="A31" s="73" t="inlineStr">
        <is>
          <t>Carga</t>
        </is>
      </c>
      <c r="B31" s="71" t="inlineStr">
        <is>
          <t>¿Aguanta el uso normal en hora pico? Se aplica la carga esperada y se mide si cumple la meta.</t>
        </is>
      </c>
    </row>
    <row r="32" ht="33" customHeight="1" s="33">
      <c r="A32" s="73" t="inlineStr">
        <is>
          <t>Estrés</t>
        </is>
      </c>
      <c r="B32" s="71" t="inlineStr">
        <is>
          <t>¿Hasta dónde aguanta y cómo falla? Se sube la carga por encima de lo normal, en escalones, hasta encontrar el punto de quiebre.</t>
        </is>
      </c>
    </row>
    <row r="33" ht="33" customHeight="1" s="33">
      <c r="A33" s="73" t="inlineStr">
        <is>
          <t>Volumen</t>
        </is>
      </c>
      <c r="B33" s="71" t="inlineStr">
        <is>
          <t>¿Sigue rápido con muchos datos acumulados? La carga de usuarios es baja; lo grande es la cantidad de datos.</t>
        </is>
      </c>
    </row>
    <row r="34" ht="18.5" customHeight="1" s="33">
      <c r="A34" s="73" t="inlineStr">
        <is>
          <t>Límites</t>
        </is>
      </c>
      <c r="B34" s="71" t="inlineStr">
        <is>
          <t>¿Respeta los topes definidos? Se prueba justo en el máximo permitido y justo por encima.</t>
        </is>
      </c>
    </row>
    <row r="35" ht="18.5" customHeight="1" s="33">
      <c r="A35" s="73" t="inlineStr">
        <is>
          <t>Recuperación</t>
        </is>
      </c>
      <c r="B35" s="71" t="inlineStr">
        <is>
          <t>¿Queda consistente después de una falla? Se corta el servidor o la red a mitad de una operación.</t>
        </is>
      </c>
    </row>
    <row r="36" s="33">
      <c r="A36" s="68" t="n"/>
      <c r="B36" s="68" t="n"/>
    </row>
    <row r="37" ht="18.5" customHeight="1" s="33">
      <c r="A37" s="72" t="inlineStr">
        <is>
          <t>Estado de las pruebas no funcionales</t>
        </is>
      </c>
      <c r="B37" s="68" t="n"/>
    </row>
    <row r="38" s="33">
      <c r="A38" s="68" t="n"/>
      <c r="B38" s="68" t="n"/>
    </row>
    <row r="39" ht="18.5" customHeight="1" s="33">
      <c r="A39" s="74" t="inlineStr">
        <is>
          <t>Pendiente</t>
        </is>
      </c>
      <c r="B39" s="71" t="inlineStr">
        <is>
          <t>Todavía no se ejecuta.</t>
        </is>
      </c>
    </row>
    <row r="40" ht="18.5" customHeight="1" s="33">
      <c r="A40" s="75" t="inlineStr">
        <is>
          <t>Cumple</t>
        </is>
      </c>
      <c r="B40" s="71" t="inlineStr">
        <is>
          <t>El resultado alcanza la meta acordada.</t>
        </is>
      </c>
    </row>
    <row r="41" ht="18.5" customHeight="1" s="33">
      <c r="A41" s="76" t="inlineStr">
        <is>
          <t>No cumple</t>
        </is>
      </c>
      <c r="B41" s="71" t="inlineStr">
        <is>
          <t>No alcanza la meta. Se registra un defecto.</t>
        </is>
      </c>
    </row>
    <row r="42" ht="18.5" customHeight="1" s="33">
      <c r="A42" s="70" t="inlineStr">
        <is>
          <t>Informativo</t>
        </is>
      </c>
      <c r="B42" s="71" t="inlineStr">
        <is>
          <t>Se midió sin una meta definida: el dato queda como referencia.</t>
        </is>
      </c>
    </row>
    <row r="43" ht="18.5" customHeight="1" s="33">
      <c r="A43" s="77" t="inlineStr">
        <is>
          <t>Bloqueado</t>
        </is>
      </c>
      <c r="B43" s="71" t="inlineStr">
        <is>
          <t>No se pudo ejecutar (HU sin desarrollar o ambiente no disponible).</t>
        </is>
      </c>
    </row>
    <row r="44" s="33">
      <c r="A44" s="68" t="n"/>
      <c r="B44" s="68" t="n"/>
    </row>
    <row r="45" ht="18.5" customHeight="1" s="33">
      <c r="A45" s="72" t="inlineStr">
        <is>
          <t>Tipos de caso funcional (hoja Casos de Prueba)</t>
        </is>
      </c>
      <c r="B45" s="68" t="n"/>
    </row>
    <row r="46" s="33">
      <c r="A46" s="68" t="n"/>
      <c r="B46" s="68" t="n"/>
    </row>
    <row r="47" ht="18.5" customHeight="1" s="33">
      <c r="A47" s="73" t="inlineStr">
        <is>
          <t>Funcional</t>
        </is>
      </c>
      <c r="B47" s="71" t="inlineStr">
        <is>
          <t>Camino feliz de la funcionalidad.</t>
        </is>
      </c>
    </row>
    <row r="48" ht="18.5" customHeight="1" s="33">
      <c r="A48" s="73" t="inlineStr">
        <is>
          <t>Negativa</t>
        </is>
      </c>
      <c r="B48" s="71" t="inlineStr">
        <is>
          <t>Entrada inválida: el sistema debe rechazarla sin dejar datos a medias.</t>
        </is>
      </c>
    </row>
    <row r="49" ht="18.5" customHeight="1" s="33">
      <c r="A49" s="73" t="inlineStr">
        <is>
          <t>Límite</t>
        </is>
      </c>
      <c r="B49" s="71" t="inlineStr">
        <is>
          <t>Valores en el borde de una regla (tamaños, fechas, cantidades).</t>
        </is>
      </c>
    </row>
    <row r="50" ht="33" customHeight="1" s="33">
      <c r="A50" s="73" t="inlineStr">
        <is>
          <t>Seguridad</t>
        </is>
      </c>
      <c r="B50" s="71" t="inlineStr">
        <is>
          <t>Permisos por rol, en la pantalla y en la API. Va aquí y no en No Funcionales porque cada permiso es un criterio de aceptación de la HU.</t>
        </is>
      </c>
    </row>
    <row r="51" ht="18.5" customHeight="1" s="33">
      <c r="A51" s="73" t="inlineStr">
        <is>
          <t>E2E</t>
        </is>
      </c>
      <c r="B51" s="71" t="inlineStr">
        <is>
          <t>Recorrido completo hasta el entregable (PDF, Excel).</t>
        </is>
      </c>
    </row>
    <row r="52" ht="18.5" customHeight="1" s="33">
      <c r="A52" s="73" t="inlineStr">
        <is>
          <t>Regresión</t>
        </is>
      </c>
      <c r="B52" s="71" t="inlineStr">
        <is>
          <t>Lo que ya funcionaba debe seguir funcionando.</t>
        </is>
      </c>
    </row>
    <row r="53" s="33">
      <c r="A53" s="68" t="n"/>
      <c r="B53" s="68" t="n"/>
    </row>
    <row r="54" ht="62" customHeight="1" s="33">
      <c r="A54" s="79" t="n"/>
      <c r="B54" s="108" t="n"/>
    </row>
  </sheetData>
  <mergeCells count="1">
    <mergeCell ref="A54:B5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S19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3" min="1" max="1"/>
    <col width="13" customWidth="1" style="33" min="2" max="2"/>
    <col width="13" customWidth="1" style="33" min="3" max="3"/>
    <col width="11" customWidth="1" style="33" min="4" max="4"/>
    <col width="10" customWidth="1" style="33" min="5" max="5"/>
    <col width="18" customWidth="1" style="33" min="6" max="6"/>
    <col width="28" customWidth="1" style="33" min="7" max="7"/>
    <col width="40" customWidth="1" style="33" min="8" max="8"/>
    <col width="44" customWidth="1" style="33" min="9" max="9"/>
    <col width="40" customWidth="1" style="33" min="10" max="10"/>
    <col width="36" customWidth="1" style="33" min="11" max="11"/>
    <col width="12" customWidth="1" style="33" min="12" max="12"/>
    <col width="10" customWidth="1" style="33" min="13" max="13"/>
    <col width="14" customWidth="1" style="33" min="14" max="14"/>
    <col width="16" customWidth="1" style="33" min="15" max="15"/>
    <col width="12" customWidth="1" style="33" min="16" max="16"/>
    <col width="52" customWidth="1" style="33" min="17" max="17"/>
    <col width="26" customWidth="1" style="33" min="18" max="18"/>
    <col width="17" customWidth="1" style="33" min="19" max="19"/>
  </cols>
  <sheetData>
    <row r="1" ht="33" customHeight="1" s="33">
      <c r="A1" s="81" t="inlineStr">
        <is>
          <t>ID</t>
        </is>
      </c>
      <c r="B1" s="81" t="inlineStr">
        <is>
          <t>Historia</t>
        </is>
      </c>
      <c r="C1" s="81" t="inlineStr">
        <is>
          <t>Requisito</t>
        </is>
      </c>
      <c r="D1" s="81" t="inlineStr">
        <is>
          <t>Tipo</t>
        </is>
      </c>
      <c r="E1" s="81" t="inlineStr">
        <is>
          <t>Prioridad</t>
        </is>
      </c>
      <c r="F1" s="81" t="inlineStr">
        <is>
          <t>Rol / usuario</t>
        </is>
      </c>
      <c r="G1" s="81" t="inlineStr">
        <is>
          <t>Precondición</t>
        </is>
      </c>
      <c r="H1" s="81" t="inlineStr">
        <is>
          <t>Pasos</t>
        </is>
      </c>
      <c r="I1" s="81" t="inlineStr">
        <is>
          <t>Datos de prueba</t>
        </is>
      </c>
      <c r="J1" s="81" t="inlineStr">
        <is>
          <t>Resultado esperado</t>
        </is>
      </c>
      <c r="K1" s="81" t="inlineStr">
        <is>
          <t>Resultado obtenido</t>
        </is>
      </c>
      <c r="L1" s="81" t="inlineStr">
        <is>
          <t>Estado</t>
        </is>
      </c>
      <c r="M1" s="81" t="inlineStr">
        <is>
          <t>Defecto</t>
        </is>
      </c>
      <c r="N1" s="81" t="inlineStr">
        <is>
          <t>Evidencia</t>
        </is>
      </c>
      <c r="O1" s="81" t="inlineStr">
        <is>
          <t>Ejecutado por</t>
        </is>
      </c>
      <c r="P1" s="81" t="inlineStr">
        <is>
          <t>Fecha</t>
        </is>
      </c>
      <c r="Q1" s="81" t="inlineStr">
        <is>
          <t>Test automatizado</t>
        </is>
      </c>
      <c r="R1" s="81" t="inlineStr">
        <is>
          <t>Entorno</t>
        </is>
      </c>
      <c r="S1" s="81" t="inlineStr">
        <is>
          <t>Commit probado</t>
        </is>
      </c>
    </row>
    <row r="2" ht="47.5" customFormat="1" customHeight="1" s="49">
      <c r="A2" s="71" t="inlineStr">
        <is>
          <t>CP-001</t>
        </is>
      </c>
      <c r="B2" s="71" t="inlineStr">
        <is>
          <t>HT-06</t>
        </is>
      </c>
      <c r="C2" s="71" t="inlineStr">
        <is>
          <t>RQ-HT06-01</t>
        </is>
      </c>
      <c r="D2" s="71" t="inlineStr">
        <is>
          <t>Funcional</t>
        </is>
      </c>
      <c r="E2" s="71" t="inlineStr">
        <is>
          <t>Alta</t>
        </is>
      </c>
      <c r="F2" s="71" t="inlineStr">
        <is>
          <t>QA</t>
        </is>
      </c>
      <c r="G2" s="71" t="inlineStr">
        <is>
          <t>Repositorio en qa-elliot</t>
        </is>
      </c>
      <c r="H2" s="71" t="inlineStr">
        <is>
          <t>1. Leer backend/Dockerfile. 2. Comprobar el comando de arranque.</t>
        </is>
      </c>
      <c r="I2" s="71" t="inlineStr">
        <is>
          <t>backend/Dockerfile</t>
        </is>
      </c>
      <c r="J2" s="71" t="inlineStr">
        <is>
          <t>La imagen de la API arranca uvicorn app.main:app</t>
        </is>
      </c>
      <c r="K2" s="82" t="inlineStr">
        <is>
          <t>uvicorn app.main:app presente</t>
        </is>
      </c>
      <c r="L2" s="83" t="inlineStr">
        <is>
          <t>Aprobado</t>
        </is>
      </c>
      <c r="M2" s="82" t="inlineStr">
        <is>
          <t>—</t>
        </is>
      </c>
      <c r="N2" s="82" t="inlineStr">
        <is>
          <t>EV-CP-001</t>
        </is>
      </c>
      <c r="O2" s="82" t="inlineStr">
        <is>
          <t>QA</t>
        </is>
      </c>
      <c r="P2" s="82" t="inlineStr">
        <is>
          <t>28/10/2026</t>
        </is>
      </c>
      <c r="Q2" s="71" t="inlineStr">
        <is>
          <t>test_ht06_local.py::test_ca1_dockerfile_api_existe_y_arranca_uvicorn</t>
        </is>
      </c>
      <c r="R2" s="71" t="inlineStr">
        <is>
          <t>Local</t>
        </is>
      </c>
      <c r="S2" s="71" t="inlineStr">
        <is>
          <t>bc5b89a (qa-elliot)</t>
        </is>
      </c>
    </row>
    <row r="3" ht="62" customFormat="1" customHeight="1" s="49">
      <c r="A3" s="71" t="inlineStr">
        <is>
          <t>CP-002</t>
        </is>
      </c>
      <c r="B3" s="71" t="inlineStr">
        <is>
          <t>HT-06</t>
        </is>
      </c>
      <c r="C3" s="71" t="inlineStr">
        <is>
          <t>RQ-HT06-01</t>
        </is>
      </c>
      <c r="D3" s="71" t="inlineStr">
        <is>
          <t>Funcional</t>
        </is>
      </c>
      <c r="E3" s="71" t="inlineStr">
        <is>
          <t>Alta</t>
        </is>
      </c>
      <c r="F3" s="71" t="inlineStr">
        <is>
          <t>QA</t>
        </is>
      </c>
      <c r="G3" s="71" t="inlineStr">
        <is>
          <t>Repositorio en qa-elliot</t>
        </is>
      </c>
      <c r="H3" s="71" t="inlineStr">
        <is>
          <t>1. Leer containers.example.json. 2. Verificar api, worker y beat con imagen y comando propios.</t>
        </is>
      </c>
      <c r="I3" s="71" t="inlineStr">
        <is>
          <t>containers.example.json</t>
        </is>
      </c>
      <c r="J3" s="71" t="inlineStr">
        <is>
          <t>api, worker (celery worker) y beat (celery beat) son contenedores distintos</t>
        </is>
      </c>
      <c r="K3" s="82" t="inlineStr">
        <is>
          <t>Los tres existen y estan separados</t>
        </is>
      </c>
      <c r="L3" s="83" t="inlineStr">
        <is>
          <t>Aprobado</t>
        </is>
      </c>
      <c r="M3" s="82" t="inlineStr">
        <is>
          <t>—</t>
        </is>
      </c>
      <c r="N3" s="82" t="inlineStr">
        <is>
          <t>EV-CP-002</t>
        </is>
      </c>
      <c r="O3" s="82" t="inlineStr">
        <is>
          <t>QA</t>
        </is>
      </c>
      <c r="P3" s="82" t="inlineStr">
        <is>
          <t>28/10/2026</t>
        </is>
      </c>
      <c r="Q3" s="71" t="inlineStr">
        <is>
          <t>test_ht06_local.py::test_ca1_containers_api_worker_beat_separados</t>
        </is>
      </c>
      <c r="R3" s="71" t="inlineStr">
        <is>
          <t>Local</t>
        </is>
      </c>
      <c r="S3" s="71" t="inlineStr">
        <is>
          <t>bc5b89a (qa-elliot)</t>
        </is>
      </c>
    </row>
    <row r="4" ht="33" customFormat="1" customHeight="1" s="49">
      <c r="A4" s="71" t="inlineStr">
        <is>
          <t>CP-003</t>
        </is>
      </c>
      <c r="B4" s="71" t="inlineStr">
        <is>
          <t>HT-06</t>
        </is>
      </c>
      <c r="C4" s="71" t="inlineStr">
        <is>
          <t>RQ-HT06-01</t>
        </is>
      </c>
      <c r="D4" s="71" t="inlineStr">
        <is>
          <t>Funcional</t>
        </is>
      </c>
      <c r="E4" s="71" t="inlineStr">
        <is>
          <t>Alta</t>
        </is>
      </c>
      <c r="F4" s="71" t="inlineStr">
        <is>
          <t>QA</t>
        </is>
      </c>
      <c r="G4" s="71" t="inlineStr">
        <is>
          <t>Acceso de lectura a Lightsail</t>
        </is>
      </c>
      <c r="H4" s="71" t="inlineStr">
        <is>
          <t>1. aws lightsail get-container-service-deployments. 2. Listar contenedores, imagenes y comandos del despliegue activo.</t>
        </is>
      </c>
      <c r="I4" s="71" t="inlineStr">
        <is>
          <t>Servicio pangea-api, version 7</t>
        </is>
      </c>
      <c r="J4" s="71" t="inlineStr">
        <is>
          <t>El despliegue activo separa api, worker y beat, con imagen por etiqueta de commit</t>
        </is>
      </c>
      <c r="K4" s="82" t="inlineStr">
        <is>
          <t>4 contenedores (api, beat, worker, redis); imagen :pangea-api.api-b948aac.16; escala 1</t>
        </is>
      </c>
      <c r="L4" s="83" t="inlineStr">
        <is>
          <t>Aprobado</t>
        </is>
      </c>
      <c r="M4" s="82" t="inlineStr">
        <is>
          <t>—</t>
        </is>
      </c>
      <c r="N4" s="82" t="inlineStr">
        <is>
          <t>EV-CP-003</t>
        </is>
      </c>
      <c r="O4" s="82" t="inlineStr">
        <is>
          <t>QA</t>
        </is>
      </c>
      <c r="P4" s="82" t="inlineStr">
        <is>
          <t>28/10/2026</t>
        </is>
      </c>
      <c r="Q4" s="71" t="inlineStr">
        <is>
          <t>Manual (CloudShell: verificar_lightsail.sh)</t>
        </is>
      </c>
      <c r="R4" s="71" t="inlineStr">
        <is>
          <t>Lightsail (produccion, solo lectura)</t>
        </is>
      </c>
      <c r="S4" s="71" t="inlineStr">
        <is>
          <t>imagen api-b948aac.16</t>
        </is>
      </c>
    </row>
    <row r="5" ht="47.5" customFormat="1" customHeight="1" s="49">
      <c r="A5" s="71" t="inlineStr">
        <is>
          <t>CP-004</t>
        </is>
      </c>
      <c r="B5" s="71" t="inlineStr">
        <is>
          <t>HT-06</t>
        </is>
      </c>
      <c r="C5" s="71" t="inlineStr">
        <is>
          <t>RQ-HT06-01</t>
        </is>
      </c>
      <c r="D5" s="71" t="inlineStr">
        <is>
          <t>Funcional</t>
        </is>
      </c>
      <c r="E5" s="71" t="inlineStr">
        <is>
          <t>Media</t>
        </is>
      </c>
      <c r="F5" s="71" t="inlineStr">
        <is>
          <t>QA</t>
        </is>
      </c>
      <c r="G5" s="71" t="inlineStr">
        <is>
          <t>Docker Desktop activo; .env local</t>
        </is>
      </c>
      <c r="H5" s="71" t="inlineStr">
        <is>
          <t>1. docker compose --profile full up -d --build. 2. Ver estado de api, worker, beat. 3. Revisar logs del worker.</t>
        </is>
      </c>
      <c r="I5" s="71" t="inlineStr">
        <is>
          <t>docker-compose.yml</t>
        </is>
      </c>
      <c r="J5" s="71" t="inlineStr">
        <is>
          <t>api, worker y beat arrancan y el worker ejecuta sus tareas contra la BD</t>
        </is>
      </c>
      <c r="K5" s="82" t="inlineStr">
        <is>
          <t>Los 3 contenedores arrancan y la API responde 200, pero el worker falla en cada tarea con 'password authentication failed for user pangea'</t>
        </is>
      </c>
      <c r="L5" s="83" t="inlineStr">
        <is>
          <t>Fallido</t>
        </is>
      </c>
      <c r="M5" s="82" t="inlineStr">
        <is>
          <t>DEF-03</t>
        </is>
      </c>
      <c r="N5" s="82" t="inlineStr">
        <is>
          <t>EV-CP-004</t>
        </is>
      </c>
      <c r="O5" s="82" t="inlineStr">
        <is>
          <t>QA</t>
        </is>
      </c>
      <c r="P5" s="82" t="inlineStr">
        <is>
          <t>28/10/2026</t>
        </is>
      </c>
      <c r="Q5" s="71" t="inlineStr">
        <is>
          <t>Manual (docker compose)</t>
        </is>
      </c>
      <c r="R5" s="71" t="inlineStr">
        <is>
          <t>Local (Docker)</t>
        </is>
      </c>
      <c r="S5" s="71" t="inlineStr">
        <is>
          <t>bc5b89a (qa-elliot)</t>
        </is>
      </c>
    </row>
    <row r="6" ht="62" customFormat="1" customHeight="1" s="49">
      <c r="A6" s="71" t="inlineStr">
        <is>
          <t>CP-005</t>
        </is>
      </c>
      <c r="B6" s="71" t="inlineStr">
        <is>
          <t>HT-06</t>
        </is>
      </c>
      <c r="C6" s="71" t="inlineStr">
        <is>
          <t>RQ-HT06-01</t>
        </is>
      </c>
      <c r="D6" s="71" t="inlineStr">
        <is>
          <t>Funcional</t>
        </is>
      </c>
      <c r="E6" s="71" t="inlineStr">
        <is>
          <t>Media</t>
        </is>
      </c>
      <c r="F6" s="71" t="inlineStr">
        <is>
          <t>QA</t>
        </is>
      </c>
      <c r="G6" s="71" t="inlineStr">
        <is>
          <t>Repositorio en qa-elliot</t>
        </is>
      </c>
      <c r="H6" s="71" t="inlineStr">
        <is>
          <t>1. Buscar un contenedor del receptor FTP/TCP en containers.example.json y en el despliegue activo.</t>
        </is>
      </c>
      <c r="I6" s="71" t="inlineStr">
        <is>
          <t>containers.example.json; despliegue v7</t>
        </is>
      </c>
      <c r="J6" s="71" t="inlineStr">
        <is>
          <t>El receptor FTP/TCP corre en su propio contenedor</t>
        </is>
      </c>
      <c r="K6" s="82" t="inlineStr">
        <is>
          <t>No existe contenedor de receptor FTP/TCP; la ingesta usa sondeo desde Celery. Queda por decidir si ese diseno reemplaza al receptor</t>
        </is>
      </c>
      <c r="L6" s="83" t="inlineStr">
        <is>
          <t>Bloqueado</t>
        </is>
      </c>
      <c r="M6" s="82" t="inlineStr">
        <is>
          <t>—</t>
        </is>
      </c>
      <c r="N6" s="82" t="inlineStr">
        <is>
          <t>EV-CP-005</t>
        </is>
      </c>
      <c r="O6" s="82" t="inlineStr">
        <is>
          <t>QA</t>
        </is>
      </c>
      <c r="P6" s="82" t="inlineStr">
        <is>
          <t>28/10/2026</t>
        </is>
      </c>
      <c r="Q6" s="71" t="inlineStr">
        <is>
          <t>test_ht06_local.py::test_ca1_receptor_ftp_tcp_en_contenedor_propio</t>
        </is>
      </c>
      <c r="R6" s="71" t="inlineStr">
        <is>
          <t>Local</t>
        </is>
      </c>
      <c r="S6" s="71" t="inlineStr">
        <is>
          <t>bc5b89a (qa-elliot)</t>
        </is>
      </c>
    </row>
    <row r="7" ht="47.5" customFormat="1" customHeight="1" s="49">
      <c r="A7" s="71" t="inlineStr">
        <is>
          <t>CP-006</t>
        </is>
      </c>
      <c r="B7" s="71" t="inlineStr">
        <is>
          <t>HT-06</t>
        </is>
      </c>
      <c r="C7" s="71" t="inlineStr">
        <is>
          <t>RQ-HT06-02</t>
        </is>
      </c>
      <c r="D7" s="71" t="inlineStr">
        <is>
          <t>Seguridad</t>
        </is>
      </c>
      <c r="E7" s="71" t="inlineStr">
        <is>
          <t>Alta</t>
        </is>
      </c>
      <c r="F7" s="71" t="inlineStr">
        <is>
          <t>QA</t>
        </is>
      </c>
      <c r="G7" s="71" t="inlineStr">
        <is>
          <t>Acceso de lectura a Lightsail</t>
        </is>
      </c>
      <c r="H7" s="71" t="inlineStr">
        <is>
          <t>1. aws lightsail get-relational-databases. 2. Leer publiclyAccessible de pangea-db.</t>
        </is>
      </c>
      <c r="I7" s="71" t="inlineStr">
        <is>
          <t>pangea-db (postgres 16.15)</t>
        </is>
      </c>
      <c r="J7" s="71" t="inlineStr">
        <is>
          <t>publiclyAccessible = False</t>
        </is>
      </c>
      <c r="K7" s="82" t="inlineStr">
        <is>
          <t>publiclyAccessible = True</t>
        </is>
      </c>
      <c r="L7" s="83" t="inlineStr">
        <is>
          <t>Fallido</t>
        </is>
      </c>
      <c r="M7" s="82" t="inlineStr">
        <is>
          <t>DEF-01</t>
        </is>
      </c>
      <c r="N7" s="82" t="inlineStr">
        <is>
          <t>EV-CP-006</t>
        </is>
      </c>
      <c r="O7" s="82" t="inlineStr">
        <is>
          <t>QA</t>
        </is>
      </c>
      <c r="P7" s="82" t="inlineStr">
        <is>
          <t>28/10/2026</t>
        </is>
      </c>
      <c r="Q7" s="71" t="inlineStr">
        <is>
          <t>Manual (CloudShell: verificar_lightsail.sh)</t>
        </is>
      </c>
      <c r="R7" s="71" t="inlineStr">
        <is>
          <t>Lightsail (produccion, solo lectura)</t>
        </is>
      </c>
      <c r="S7" s="71" t="inlineStr">
        <is>
          <t>BD pangea-db</t>
        </is>
      </c>
    </row>
    <row r="8" ht="62" customFormat="1" customHeight="1" s="49">
      <c r="A8" s="71" t="inlineStr">
        <is>
          <t>CP-007</t>
        </is>
      </c>
      <c r="B8" s="71" t="inlineStr">
        <is>
          <t>HT-06</t>
        </is>
      </c>
      <c r="C8" s="71" t="inlineStr">
        <is>
          <t>RQ-HT06-02</t>
        </is>
      </c>
      <c r="D8" s="71" t="inlineStr">
        <is>
          <t>Seguridad</t>
        </is>
      </c>
      <c r="E8" s="71" t="inlineStr">
        <is>
          <t>Alta</t>
        </is>
      </c>
      <c r="F8" s="71" t="inlineStr">
        <is>
          <t>QA</t>
        </is>
      </c>
      <c r="G8" s="71" t="inlineStr">
        <is>
          <t>CloudShell fuera de la red privada de Lightsail</t>
        </is>
      </c>
      <c r="H8" s="71" t="inlineStr">
        <is>
          <t>1. Abrir una conexion TCP al puerto 5432 del host de pangea-db desde CloudShell.</t>
        </is>
      </c>
      <c r="I8" s="71" t="inlineStr">
        <is>
          <t>pangea-db:5432</t>
        </is>
      </c>
      <c r="J8" s="71" t="inlineStr">
        <is>
          <t>La conexion es rechazada o expira</t>
        </is>
      </c>
      <c r="K8" s="82" t="inlineStr">
        <is>
          <t>La conexion queda abierta desde internet</t>
        </is>
      </c>
      <c r="L8" s="83" t="inlineStr">
        <is>
          <t>Fallido</t>
        </is>
      </c>
      <c r="M8" s="82" t="inlineStr">
        <is>
          <t>DEF-01</t>
        </is>
      </c>
      <c r="N8" s="82" t="inlineStr">
        <is>
          <t>EV-CP-007</t>
        </is>
      </c>
      <c r="O8" s="82" t="inlineStr">
        <is>
          <t>QA</t>
        </is>
      </c>
      <c r="P8" s="82" t="inlineStr">
        <is>
          <t>28/10/2026</t>
        </is>
      </c>
      <c r="Q8" s="71" t="inlineStr">
        <is>
          <t>Manual (CloudShell: verificar_lightsail.sh)</t>
        </is>
      </c>
      <c r="R8" s="71" t="inlineStr">
        <is>
          <t>Lightsail (produccion, solo lectura)</t>
        </is>
      </c>
      <c r="S8" s="71" t="inlineStr">
        <is>
          <t>BD pangea-db</t>
        </is>
      </c>
    </row>
    <row r="9" ht="76.5" customHeight="1" s="33">
      <c r="A9" s="71" t="inlineStr">
        <is>
          <t>CP-008</t>
        </is>
      </c>
      <c r="B9" s="71" t="inlineStr">
        <is>
          <t>HT-06</t>
        </is>
      </c>
      <c r="C9" s="71" t="inlineStr">
        <is>
          <t>RQ-HT06-02</t>
        </is>
      </c>
      <c r="D9" s="71" t="inlineStr">
        <is>
          <t>Funcional</t>
        </is>
      </c>
      <c r="E9" s="71" t="inlineStr">
        <is>
          <t>Media</t>
        </is>
      </c>
      <c r="F9" s="71" t="inlineStr">
        <is>
          <t>QA</t>
        </is>
      </c>
      <c r="G9" s="71" t="inlineStr">
        <is>
          <t>Repositorio en qa-elliot</t>
        </is>
      </c>
      <c r="H9" s="71" t="inlineStr">
        <is>
          <t>1. Buscar en README y codigo la documentacion del modo privado de la BD.</t>
        </is>
      </c>
      <c r="I9" s="71" t="inlineStr">
        <is>
          <t>README.md, app/</t>
        </is>
      </c>
      <c r="J9" s="71" t="inlineStr">
        <is>
          <t>Existe documentacion del modo privado y de la conexion desde el Container Service</t>
        </is>
      </c>
      <c r="K9" s="82" t="inlineStr">
        <is>
          <t>No hay documentacion del modo privado</t>
        </is>
      </c>
      <c r="L9" s="83" t="inlineStr">
        <is>
          <t>Fallido</t>
        </is>
      </c>
      <c r="M9" s="82" t="inlineStr">
        <is>
          <t>DEF-01</t>
        </is>
      </c>
      <c r="N9" s="82" t="inlineStr">
        <is>
          <t>EV-CP-008</t>
        </is>
      </c>
      <c r="O9" s="82" t="inlineStr">
        <is>
          <t>QA</t>
        </is>
      </c>
      <c r="P9" s="82" t="inlineStr">
        <is>
          <t>28/10/2026</t>
        </is>
      </c>
      <c r="Q9" s="71" t="inlineStr">
        <is>
          <t>test_ht06_local.py::test_ca2_documentado_modo_privado</t>
        </is>
      </c>
      <c r="R9" s="71" t="inlineStr">
        <is>
          <t>Local</t>
        </is>
      </c>
      <c r="S9" s="71" t="inlineStr">
        <is>
          <t>bc5b89a (qa-elliot)</t>
        </is>
      </c>
    </row>
    <row r="10" ht="47.5" customHeight="1" s="33">
      <c r="A10" s="71" t="inlineStr">
        <is>
          <t>CP-009</t>
        </is>
      </c>
      <c r="B10" s="71" t="inlineStr">
        <is>
          <t>HT-06</t>
        </is>
      </c>
      <c r="C10" s="71" t="inlineStr">
        <is>
          <t>RQ-HT06-03</t>
        </is>
      </c>
      <c r="D10" s="71" t="inlineStr">
        <is>
          <t>Funcional</t>
        </is>
      </c>
      <c r="E10" s="71" t="inlineStr">
        <is>
          <t>Alta</t>
        </is>
      </c>
      <c r="F10" s="71" t="inlineStr">
        <is>
          <t>QA</t>
        </is>
      </c>
      <c r="G10" s="71" t="inlineStr">
        <is>
          <t>Acceso de lectura a Lightsail</t>
        </is>
      </c>
      <c r="H10" s="71" t="inlineStr">
        <is>
          <t>1. aws lightsail get-buckets. 2. Comprobar que existe el bucket de produccion.</t>
        </is>
      </c>
      <c r="I10" s="71" t="inlineStr">
        <is>
          <t>pangea-storage-prod</t>
        </is>
      </c>
      <c r="J10" s="71" t="inlineStr">
        <is>
          <t>Existe un bucket de Object Storage operativo</t>
        </is>
      </c>
      <c r="K10" s="82" t="inlineStr">
        <is>
          <t>Bucket pangea-storage-prod en estado OK (creado 04/09/2026), sin versionado</t>
        </is>
      </c>
      <c r="L10" s="83" t="inlineStr">
        <is>
          <t>Aprobado</t>
        </is>
      </c>
      <c r="M10" s="82" t="inlineStr">
        <is>
          <t>—</t>
        </is>
      </c>
      <c r="N10" s="82" t="inlineStr">
        <is>
          <t>EV-CP-009</t>
        </is>
      </c>
      <c r="O10" s="82" t="inlineStr">
        <is>
          <t>QA</t>
        </is>
      </c>
      <c r="P10" s="82" t="inlineStr">
        <is>
          <t>28/10/2026</t>
        </is>
      </c>
      <c r="Q10" s="71" t="inlineStr">
        <is>
          <t>Manual (CloudShell: verificar_lightsail.sh)</t>
        </is>
      </c>
      <c r="R10" s="71" t="inlineStr">
        <is>
          <t>Lightsail (produccion, solo lectura)</t>
        </is>
      </c>
      <c r="S10" s="71" t="inlineStr">
        <is>
          <t>bucket pangea-storage-prod</t>
        </is>
      </c>
    </row>
    <row r="11" ht="47.5" customHeight="1" s="33">
      <c r="A11" s="71" t="inlineStr">
        <is>
          <t>CP-010</t>
        </is>
      </c>
      <c r="B11" s="71" t="inlineStr">
        <is>
          <t>HT-06</t>
        </is>
      </c>
      <c r="C11" s="71" t="inlineStr">
        <is>
          <t>RQ-HT06-03</t>
        </is>
      </c>
      <c r="D11" s="71" t="inlineStr">
        <is>
          <t>Funcional</t>
        </is>
      </c>
      <c r="E11" s="71" t="inlineStr">
        <is>
          <t>Alta</t>
        </is>
      </c>
      <c r="F11" s="71" t="inlineStr">
        <is>
          <t>QA</t>
        </is>
      </c>
      <c r="G11" s="71" t="inlineStr">
        <is>
          <t>Repositorio en qa-elliot</t>
        </is>
      </c>
      <c r="H11" s="71" t="inlineStr">
        <is>
          <t>1. Buscar el cliente S3 (boto3) en requirements.txt.</t>
        </is>
      </c>
      <c r="I11" s="71" t="inlineStr">
        <is>
          <t>backend/requirements.txt</t>
        </is>
      </c>
      <c r="J11" s="71" t="inlineStr">
        <is>
          <t>El backend incluye un cliente de Object Storage</t>
        </is>
      </c>
      <c r="K11" s="82" t="inlineStr">
        <is>
          <t>No hay boto3 ni cliente S3</t>
        </is>
      </c>
      <c r="L11" s="83" t="inlineStr">
        <is>
          <t>Bloqueado</t>
        </is>
      </c>
      <c r="M11" s="82" t="inlineStr">
        <is>
          <t>—</t>
        </is>
      </c>
      <c r="N11" s="82" t="inlineStr">
        <is>
          <t>EV-CP-010</t>
        </is>
      </c>
      <c r="O11" s="82" t="inlineStr">
        <is>
          <t>QA</t>
        </is>
      </c>
      <c r="P11" s="82" t="inlineStr">
        <is>
          <t>28/10/2026</t>
        </is>
      </c>
      <c r="Q11" s="71" t="inlineStr">
        <is>
          <t>test_ht06_local.py::test_ca3_dependencia_cliente_s3_en_requirements</t>
        </is>
      </c>
      <c r="R11" s="71" t="inlineStr">
        <is>
          <t>Local</t>
        </is>
      </c>
      <c r="S11" s="71" t="inlineStr">
        <is>
          <t>bc5b89a (qa-elliot)</t>
        </is>
      </c>
    </row>
    <row r="12" ht="47.5" customHeight="1" s="33">
      <c r="A12" s="71" t="inlineStr">
        <is>
          <t>CP-011</t>
        </is>
      </c>
      <c r="B12" s="71" t="inlineStr">
        <is>
          <t>HT-06</t>
        </is>
      </c>
      <c r="C12" s="71" t="inlineStr">
        <is>
          <t>RQ-HT06-03</t>
        </is>
      </c>
      <c r="D12" s="71" t="inlineStr">
        <is>
          <t>Funcional</t>
        </is>
      </c>
      <c r="E12" s="71" t="inlineStr">
        <is>
          <t>Alta</t>
        </is>
      </c>
      <c r="F12" s="71" t="inlineStr">
        <is>
          <t>QA</t>
        </is>
      </c>
      <c r="G12" s="71" t="inlineStr">
        <is>
          <t>Repositorio en qa-elliot</t>
        </is>
      </c>
      <c r="H12" s="71" t="inlineStr">
        <is>
          <t>1. Buscar en backend/app codigo que suba .dat o exportaciones al bucket.</t>
        </is>
      </c>
      <c r="I12" s="71" t="inlineStr">
        <is>
          <t>backend/app/</t>
        </is>
      </c>
      <c r="J12" s="71" t="inlineStr">
        <is>
          <t>Un modulo escribe los .dat y las exportaciones en Object Storage</t>
        </is>
      </c>
      <c r="K12" s="82" t="inlineStr">
        <is>
          <t>Ningun modulo usa Object Storage; el despliegue activo no tiene variables de bucket</t>
        </is>
      </c>
      <c r="L12" s="83" t="inlineStr">
        <is>
          <t>Bloqueado</t>
        </is>
      </c>
      <c r="M12" s="82" t="inlineStr">
        <is>
          <t>—</t>
        </is>
      </c>
      <c r="N12" s="82" t="inlineStr">
        <is>
          <t>EV-CP-011</t>
        </is>
      </c>
      <c r="O12" s="82" t="inlineStr">
        <is>
          <t>QA</t>
        </is>
      </c>
      <c r="P12" s="82" t="inlineStr">
        <is>
          <t>28/10/2026</t>
        </is>
      </c>
      <c r="Q12" s="71" t="inlineStr">
        <is>
          <t>test_ht06_local.py::test_ca3_codigo_escribe_dat_en_object_storage</t>
        </is>
      </c>
      <c r="R12" s="71" t="inlineStr">
        <is>
          <t>Local</t>
        </is>
      </c>
      <c r="S12" s="71" t="inlineStr">
        <is>
          <t>bc5b89a (qa-elliot)</t>
        </is>
      </c>
    </row>
    <row r="13" ht="33" customHeight="1" s="33">
      <c r="A13" s="71" t="inlineStr">
        <is>
          <t>CP-012</t>
        </is>
      </c>
      <c r="B13" s="71" t="inlineStr">
        <is>
          <t>HT-06</t>
        </is>
      </c>
      <c r="C13" s="71" t="inlineStr">
        <is>
          <t>RQ-HT06-03</t>
        </is>
      </c>
      <c r="D13" s="71" t="inlineStr">
        <is>
          <t>Funcional</t>
        </is>
      </c>
      <c r="E13" s="71" t="inlineStr">
        <is>
          <t>Media</t>
        </is>
      </c>
      <c r="F13" s="71" t="inlineStr">
        <is>
          <t>QA</t>
        </is>
      </c>
      <c r="G13" s="71" t="inlineStr">
        <is>
          <t>Repositorio en qa-elliot</t>
        </is>
      </c>
      <c r="H13" s="71" t="inlineStr">
        <is>
          <t>1. Buscar variables de bucket y llaves en .env.example.</t>
        </is>
      </c>
      <c r="I13" s="71" t="inlineStr">
        <is>
          <t>/.env.example</t>
        </is>
      </c>
      <c r="J13" s="71" t="inlineStr">
        <is>
          <t>Las variables de Object Storage estan declaradas sin valores</t>
        </is>
      </c>
      <c r="K13" s="82" t="inlineStr">
        <is>
          <t>No hay variables de Object Storage</t>
        </is>
      </c>
      <c r="L13" s="83" t="inlineStr">
        <is>
          <t>Bloqueado</t>
        </is>
      </c>
      <c r="M13" s="82" t="inlineStr">
        <is>
          <t>—</t>
        </is>
      </c>
      <c r="N13" s="82" t="inlineStr">
        <is>
          <t>EV-CP-012</t>
        </is>
      </c>
      <c r="O13" s="82" t="inlineStr">
        <is>
          <t>QA</t>
        </is>
      </c>
      <c r="P13" s="82" t="inlineStr">
        <is>
          <t>28/10/2026</t>
        </is>
      </c>
      <c r="Q13" s="71" t="inlineStr">
        <is>
          <t>test_ht06_local.py::test_ca3_variables_credenciales_object_storage_documentadas</t>
        </is>
      </c>
      <c r="R13" s="71" t="inlineStr">
        <is>
          <t>Local</t>
        </is>
      </c>
      <c r="S13" s="71" t="inlineStr">
        <is>
          <t>bc5b89a (qa-elliot)</t>
        </is>
      </c>
    </row>
    <row r="14" ht="33" customHeight="1" s="33">
      <c r="A14" s="71" t="inlineStr">
        <is>
          <t>CP-013</t>
        </is>
      </c>
      <c r="B14" s="71" t="inlineStr">
        <is>
          <t>HT-06</t>
        </is>
      </c>
      <c r="C14" s="71" t="inlineStr">
        <is>
          <t>RQ-HT06-03</t>
        </is>
      </c>
      <c r="D14" s="71" t="inlineStr">
        <is>
          <t>Funcional</t>
        </is>
      </c>
      <c r="E14" s="71" t="inlineStr">
        <is>
          <t>Alta</t>
        </is>
      </c>
      <c r="F14" s="71" t="inlineStr">
        <is>
          <t>QA</t>
        </is>
      </c>
      <c r="G14" s="71" t="inlineStr">
        <is>
          <t>Un servidor de pruebas (en curso)</t>
        </is>
      </c>
      <c r="H14" s="71" t="inlineStr">
        <is>
          <t>1. Subir un .dat. 2. Redesplegar el servicio. 3. Comprobar que el archivo sigue disponible.</t>
        </is>
      </c>
      <c r="I14" s="71" t="inlineStr">
        <is>
          <t>—</t>
        </is>
      </c>
      <c r="J14" s="71" t="inlineStr">
        <is>
          <t>El archivo sobrevive al redeploy</t>
        </is>
      </c>
      <c r="K14" s="82" t="inlineStr">
        <is>
          <t>No se ejecuto: produccion es compartida y el servidor de pruebas aun esta en curso</t>
        </is>
      </c>
      <c r="L14" s="83" t="inlineStr">
        <is>
          <t>Bloqueado</t>
        </is>
      </c>
      <c r="M14" s="82" t="inlineStr">
        <is>
          <t>—</t>
        </is>
      </c>
      <c r="N14" s="82" t="inlineStr">
        <is>
          <t>EV-CP-013</t>
        </is>
      </c>
      <c r="O14" s="82" t="inlineStr">
        <is>
          <t>QA</t>
        </is>
      </c>
      <c r="P14" s="82" t="inlineStr">
        <is>
          <t>28/10/2026</t>
        </is>
      </c>
      <c r="Q14" s="71" t="inlineStr">
        <is>
          <t>Pendiente</t>
        </is>
      </c>
      <c r="R14" s="71" t="inlineStr">
        <is>
          <t>Lightsail (produccion, solo lectura)</t>
        </is>
      </c>
      <c r="S14" s="71" t="inlineStr">
        <is>
          <t>—</t>
        </is>
      </c>
    </row>
    <row r="15" ht="91" customHeight="1" s="33">
      <c r="A15" s="71" t="inlineStr">
        <is>
          <t>CP-014</t>
        </is>
      </c>
      <c r="B15" s="71" t="inlineStr">
        <is>
          <t>HT-06</t>
        </is>
      </c>
      <c r="C15" s="71" t="inlineStr">
        <is>
          <t>RQ-HT06-04</t>
        </is>
      </c>
      <c r="D15" s="71" t="inlineStr">
        <is>
          <t>Funcional</t>
        </is>
      </c>
      <c r="E15" s="71" t="inlineStr">
        <is>
          <t>Alta</t>
        </is>
      </c>
      <c r="F15" s="71" t="inlineStr">
        <is>
          <t>QA</t>
        </is>
      </c>
      <c r="G15" s="71" t="inlineStr">
        <is>
          <t>Repositorio en qa-elliot</t>
        </is>
      </c>
      <c r="H15" s="71" t="inlineStr">
        <is>
          <t>1. Revisar app/core/celery_app.py: buscar una tarea de respaldo en beat_schedule.</t>
        </is>
      </c>
      <c r="I15" s="71" t="inlineStr">
        <is>
          <t>backend/app/core/celery_app.py</t>
        </is>
      </c>
      <c r="J15" s="71" t="inlineStr">
        <is>
          <t>Existe una tarea programada de respaldo</t>
        </is>
      </c>
      <c r="K15" s="82" t="inlineStr">
        <is>
          <t>beat_schedule tiene 4 tareas y ninguna es un respaldo</t>
        </is>
      </c>
      <c r="L15" s="83" t="inlineStr">
        <is>
          <t>Bloqueado</t>
        </is>
      </c>
      <c r="M15" s="82" t="inlineStr">
        <is>
          <t>—</t>
        </is>
      </c>
      <c r="N15" s="82" t="inlineStr">
        <is>
          <t>EV-CP-014</t>
        </is>
      </c>
      <c r="O15" s="82" t="inlineStr">
        <is>
          <t>QA</t>
        </is>
      </c>
      <c r="P15" s="82" t="inlineStr">
        <is>
          <t>28/10/2026</t>
        </is>
      </c>
      <c r="Q15" s="71" t="inlineStr">
        <is>
          <t>test_ht06_local.py::test_ca4_tarea_de_respaldo_en_beat_schedule</t>
        </is>
      </c>
      <c r="R15" s="71" t="inlineStr">
        <is>
          <t>Local</t>
        </is>
      </c>
      <c r="S15" s="71" t="inlineStr">
        <is>
          <t>bc5b89a (qa-elliot)</t>
        </is>
      </c>
    </row>
    <row r="16" ht="33" customHeight="1" s="33">
      <c r="A16" s="71" t="inlineStr">
        <is>
          <t>CP-015</t>
        </is>
      </c>
      <c r="B16" s="71" t="inlineStr">
        <is>
          <t>HT-06</t>
        </is>
      </c>
      <c r="C16" s="71" t="inlineStr">
        <is>
          <t>RQ-HT06-04</t>
        </is>
      </c>
      <c r="D16" s="71" t="inlineStr">
        <is>
          <t>Funcional</t>
        </is>
      </c>
      <c r="E16" s="71" t="inlineStr">
        <is>
          <t>Alta</t>
        </is>
      </c>
      <c r="F16" s="71" t="inlineStr">
        <is>
          <t>QA</t>
        </is>
      </c>
      <c r="G16" s="71" t="inlineStr">
        <is>
          <t>Repositorio en qa-elliot</t>
        </is>
      </c>
      <c r="H16" s="71" t="inlineStr">
        <is>
          <t>1. Buscar un crontab semanal (day_of_week) en beat_schedule.</t>
        </is>
      </c>
      <c r="I16" s="71" t="inlineStr">
        <is>
          <t>backend/app/core/celery_app.py</t>
        </is>
      </c>
      <c r="J16" s="71" t="inlineStr">
        <is>
          <t>La tarea de respaldo corre una vez por semana</t>
        </is>
      </c>
      <c r="K16" s="82" t="inlineStr">
        <is>
          <t>Ningun crontab semanal</t>
        </is>
      </c>
      <c r="L16" s="83" t="inlineStr">
        <is>
          <t>Bloqueado</t>
        </is>
      </c>
      <c r="M16" s="82" t="inlineStr">
        <is>
          <t>—</t>
        </is>
      </c>
      <c r="N16" s="82" t="inlineStr">
        <is>
          <t>EV-CP-015</t>
        </is>
      </c>
      <c r="O16" s="82" t="inlineStr">
        <is>
          <t>QA</t>
        </is>
      </c>
      <c r="P16" s="82" t="inlineStr">
        <is>
          <t>28/10/2026</t>
        </is>
      </c>
      <c r="Q16" s="71" t="inlineStr">
        <is>
          <t>test_ht06_local.py::test_ca4_respaldo_semanal_crontab</t>
        </is>
      </c>
      <c r="R16" s="71" t="inlineStr">
        <is>
          <t>Local</t>
        </is>
      </c>
      <c r="S16" s="71" t="inlineStr">
        <is>
          <t>bc5b89a (qa-elliot)</t>
        </is>
      </c>
    </row>
    <row r="17" ht="62" customHeight="1" s="33">
      <c r="A17" s="71" t="inlineStr">
        <is>
          <t>CP-016</t>
        </is>
      </c>
      <c r="B17" s="71" t="inlineStr">
        <is>
          <t>HT-06</t>
        </is>
      </c>
      <c r="C17" s="71" t="inlineStr">
        <is>
          <t>RQ-HT06-04</t>
        </is>
      </c>
      <c r="D17" s="71" t="inlineStr">
        <is>
          <t>Limite</t>
        </is>
      </c>
      <c r="E17" s="71" t="inlineStr">
        <is>
          <t>Alta</t>
        </is>
      </c>
      <c r="F17" s="71" t="inlineStr">
        <is>
          <t>QA</t>
        </is>
      </c>
      <c r="G17" s="71" t="inlineStr">
        <is>
          <t>Repositorio en qa-elliot</t>
        </is>
      </c>
      <c r="H17" s="71" t="inlineStr">
        <is>
          <t>1. Buscar la politica de retencion de 12 meses.</t>
        </is>
      </c>
      <c r="I17" s="71" t="inlineStr">
        <is>
          <t>backend/app/</t>
        </is>
      </c>
      <c r="J17" s="71" t="inlineStr">
        <is>
          <t>La retencion de 12 meses esta configurada</t>
        </is>
      </c>
      <c r="K17" s="82" t="inlineStr">
        <is>
          <t>No hay retencion configurada</t>
        </is>
      </c>
      <c r="L17" s="83" t="inlineStr">
        <is>
          <t>Bloqueado</t>
        </is>
      </c>
      <c r="M17" s="82" t="inlineStr">
        <is>
          <t>—</t>
        </is>
      </c>
      <c r="N17" s="82" t="inlineStr">
        <is>
          <t>EV-CP-016</t>
        </is>
      </c>
      <c r="O17" s="82" t="inlineStr">
        <is>
          <t>QA</t>
        </is>
      </c>
      <c r="P17" s="82" t="inlineStr">
        <is>
          <t>28/10/2026</t>
        </is>
      </c>
      <c r="Q17" s="71" t="inlineStr">
        <is>
          <t>test_ht06_local.py::test_ca4_retencion_12_meses_configurada</t>
        </is>
      </c>
      <c r="R17" s="71" t="inlineStr">
        <is>
          <t>Local</t>
        </is>
      </c>
      <c r="S17" s="71" t="inlineStr">
        <is>
          <t>bc5b89a (qa-elliot)</t>
        </is>
      </c>
    </row>
    <row r="18" ht="62" customHeight="1" s="33">
      <c r="A18" s="71" t="inlineStr">
        <is>
          <t>CP-017</t>
        </is>
      </c>
      <c r="B18" s="71" t="inlineStr">
        <is>
          <t>HT-06</t>
        </is>
      </c>
      <c r="C18" s="71" t="inlineStr">
        <is>
          <t>RQ-HT06-04</t>
        </is>
      </c>
      <c r="D18" s="71" t="inlineStr">
        <is>
          <t>Seguridad</t>
        </is>
      </c>
      <c r="E18" s="71" t="inlineStr">
        <is>
          <t>Alta</t>
        </is>
      </c>
      <c r="F18" s="71" t="inlineStr">
        <is>
          <t>QA</t>
        </is>
      </c>
      <c r="G18" s="71" t="inlineStr">
        <is>
          <t>Repositorio en qa-elliot</t>
        </is>
      </c>
      <c r="H18" s="71" t="inlineStr">
        <is>
          <t>1. Buscar codigo que genere el dump y lo cifre.</t>
        </is>
      </c>
      <c r="I18" s="71" t="inlineStr">
        <is>
          <t>backend/app/</t>
        </is>
      </c>
      <c r="J18" s="71" t="inlineStr">
        <is>
          <t>El dump se cifra antes de subirse</t>
        </is>
      </c>
      <c r="K18" s="82" t="inlineStr">
        <is>
          <t>No existe codigo de dump ni de cifrado</t>
        </is>
      </c>
      <c r="L18" s="83" t="inlineStr">
        <is>
          <t>Bloqueado</t>
        </is>
      </c>
      <c r="M18" s="82" t="inlineStr">
        <is>
          <t>—</t>
        </is>
      </c>
      <c r="N18" s="82" t="inlineStr">
        <is>
          <t>EV-CP-017</t>
        </is>
      </c>
      <c r="O18" s="82" t="inlineStr">
        <is>
          <t>QA</t>
        </is>
      </c>
      <c r="P18" s="82" t="inlineStr">
        <is>
          <t>28/10/2026</t>
        </is>
      </c>
      <c r="Q18" s="71" t="inlineStr">
        <is>
          <t>test_ht06_local.py::test_ca4_tarea_de_respaldo_cifra_el_dump</t>
        </is>
      </c>
      <c r="R18" s="71" t="inlineStr">
        <is>
          <t>Local</t>
        </is>
      </c>
      <c r="S18" s="71" t="inlineStr">
        <is>
          <t>bc5b89a (qa-elliot)</t>
        </is>
      </c>
    </row>
    <row r="19" ht="62" customHeight="1" s="33">
      <c r="A19" s="71" t="inlineStr">
        <is>
          <t>CP-018</t>
        </is>
      </c>
      <c r="B19" s="71" t="inlineStr">
        <is>
          <t>HT-06</t>
        </is>
      </c>
      <c r="C19" s="71" t="inlineStr">
        <is>
          <t>RQ-HT06-05</t>
        </is>
      </c>
      <c r="D19" s="71" t="inlineStr">
        <is>
          <t>Funcional</t>
        </is>
      </c>
      <c r="E19" s="71" t="inlineStr">
        <is>
          <t>Alta</t>
        </is>
      </c>
      <c r="F19" s="71" t="inlineStr">
        <is>
          <t>QA</t>
        </is>
      </c>
      <c r="G19" s="71" t="inlineStr">
        <is>
          <t>Repositorio en qa-elliot</t>
        </is>
      </c>
      <c r="H19" s="71" t="inlineStr">
        <is>
          <t>1. Leer app/database.py: origen de la cadena de conexion.</t>
        </is>
      </c>
      <c r="I19" s="71" t="inlineStr">
        <is>
          <t>backend/app/database.py</t>
        </is>
      </c>
      <c r="J19" s="71" t="inlineStr">
        <is>
          <t>La conexion sale de la variable DATABASE_URL</t>
        </is>
      </c>
      <c r="K19" s="82" t="inlineStr">
        <is>
          <t>Lee DATABASE_URL del entorno</t>
        </is>
      </c>
      <c r="L19" s="83" t="inlineStr">
        <is>
          <t>Aprobado</t>
        </is>
      </c>
      <c r="M19" s="82" t="inlineStr">
        <is>
          <t>—</t>
        </is>
      </c>
      <c r="N19" s="82" t="inlineStr">
        <is>
          <t>EV-CP-018</t>
        </is>
      </c>
      <c r="O19" s="82" t="inlineStr">
        <is>
          <t>QA</t>
        </is>
      </c>
      <c r="P19" s="82" t="inlineStr">
        <is>
          <t>28/10/2026</t>
        </is>
      </c>
      <c r="Q19" s="71" t="inlineStr">
        <is>
          <t>test_ht06_local.py::test_ca2_bd_por_variable_de_entorno_en_codigo</t>
        </is>
      </c>
      <c r="R19" s="71" t="inlineStr">
        <is>
          <t>Local</t>
        </is>
      </c>
      <c r="S19" s="71" t="inlineStr">
        <is>
          <t>bc5b89a (qa-elliot)</t>
        </is>
      </c>
    </row>
    <row r="20" ht="62" customHeight="1" s="33">
      <c r="A20" s="71" t="inlineStr">
        <is>
          <t>CP-019</t>
        </is>
      </c>
      <c r="B20" s="71" t="inlineStr">
        <is>
          <t>HT-06</t>
        </is>
      </c>
      <c r="C20" s="71" t="inlineStr">
        <is>
          <t>RQ-HT06-05</t>
        </is>
      </c>
      <c r="D20" s="71" t="inlineStr">
        <is>
          <t>Seguridad</t>
        </is>
      </c>
      <c r="E20" s="71" t="inlineStr">
        <is>
          <t>Alta</t>
        </is>
      </c>
      <c r="F20" s="71" t="inlineStr">
        <is>
          <t>QA</t>
        </is>
      </c>
      <c r="G20" s="71" t="inlineStr">
        <is>
          <t>Repositorio en qa-elliot</t>
        </is>
      </c>
      <c r="H20" s="71" t="inlineStr">
        <is>
          <t>1. Buscar cadenas de conexion con clave y host remoto en los archivos versionados.</t>
        </is>
      </c>
      <c r="I20" s="71" t="inlineStr">
        <is>
          <t>git ls-files</t>
        </is>
      </c>
      <c r="J20" s="71" t="inlineStr">
        <is>
          <t>Ningun archivo versionado actual tiene credenciales reales</t>
        </is>
      </c>
      <c r="K20" s="82" t="inlineStr">
        <is>
          <t>Sin credenciales con host remoto en los archivos actuales</t>
        </is>
      </c>
      <c r="L20" s="83" t="inlineStr">
        <is>
          <t>Aprobado</t>
        </is>
      </c>
      <c r="M20" s="82" t="inlineStr">
        <is>
          <t>—</t>
        </is>
      </c>
      <c r="N20" s="82" t="inlineStr">
        <is>
          <t>EV-CP-019</t>
        </is>
      </c>
      <c r="O20" s="82" t="inlineStr">
        <is>
          <t>QA</t>
        </is>
      </c>
      <c r="P20" s="82" t="inlineStr">
        <is>
          <t>28/10/2026</t>
        </is>
      </c>
      <c r="Q20" s="71" t="inlineStr">
        <is>
          <t>test_ht06_local.py::test_ca5_codigo_sin_credenciales_reales_versionadas</t>
        </is>
      </c>
      <c r="R20" s="71" t="inlineStr">
        <is>
          <t>Local</t>
        </is>
      </c>
      <c r="S20" s="71" t="inlineStr">
        <is>
          <t>bc5b89a (qa-elliot)</t>
        </is>
      </c>
    </row>
    <row r="21" ht="47.5" customHeight="1" s="33">
      <c r="A21" s="71" t="inlineStr">
        <is>
          <t>CP-020</t>
        </is>
      </c>
      <c r="B21" s="71" t="inlineStr">
        <is>
          <t>HT-06</t>
        </is>
      </c>
      <c r="C21" s="71" t="inlineStr">
        <is>
          <t>RQ-HT06-05</t>
        </is>
      </c>
      <c r="D21" s="71" t="inlineStr">
        <is>
          <t>Seguridad</t>
        </is>
      </c>
      <c r="E21" s="71" t="inlineStr">
        <is>
          <t>Alta</t>
        </is>
      </c>
      <c r="F21" s="71" t="inlineStr">
        <is>
          <t>QA</t>
        </is>
      </c>
      <c r="G21" s="71" t="inlineStr">
        <is>
          <t>Repositorio en qa-elliot</t>
        </is>
      </c>
      <c r="H21" s="71" t="inlineStr">
        <is>
          <t>1. Comprobar que containers.json no esta versionado y esta ignorado.</t>
        </is>
      </c>
      <c r="I21" s="71" t="inlineStr">
        <is>
          <t>git ls-files; .gitignore</t>
        </is>
      </c>
      <c r="J21" s="71" t="inlineStr">
        <is>
          <t>containers.json no se versiona</t>
        </is>
      </c>
      <c r="K21" s="82" t="inlineStr">
        <is>
          <t>No esta versionado; .env y .env.* ignorados</t>
        </is>
      </c>
      <c r="L21" s="83" t="inlineStr">
        <is>
          <t>Aprobado</t>
        </is>
      </c>
      <c r="M21" s="82" t="inlineStr">
        <is>
          <t>—</t>
        </is>
      </c>
      <c r="N21" s="82" t="inlineStr">
        <is>
          <t>EV-CP-020</t>
        </is>
      </c>
      <c r="O21" s="82" t="inlineStr">
        <is>
          <t>QA</t>
        </is>
      </c>
      <c r="P21" s="82" t="inlineStr">
        <is>
          <t>28/10/2026</t>
        </is>
      </c>
      <c r="Q21" s="71" t="inlineStr">
        <is>
          <t>test_ht06_local.py::test_ca5_containers_json_ignorado_y_no_versionado</t>
        </is>
      </c>
      <c r="R21" s="71" t="inlineStr">
        <is>
          <t>Local</t>
        </is>
      </c>
      <c r="S21" s="71" t="inlineStr">
        <is>
          <t>bc5b89a (qa-elliot)</t>
        </is>
      </c>
    </row>
    <row r="22" ht="33" customHeight="1" s="33">
      <c r="A22" s="71" t="inlineStr">
        <is>
          <t>CP-021</t>
        </is>
      </c>
      <c r="B22" s="71" t="inlineStr">
        <is>
          <t>HT-06</t>
        </is>
      </c>
      <c r="C22" s="71" t="inlineStr">
        <is>
          <t>RQ-HT06-05</t>
        </is>
      </c>
      <c r="D22" s="71" t="inlineStr">
        <is>
          <t>Seguridad</t>
        </is>
      </c>
      <c r="E22" s="71" t="inlineStr">
        <is>
          <t>Media</t>
        </is>
      </c>
      <c r="F22" s="71" t="inlineStr">
        <is>
          <t>QA</t>
        </is>
      </c>
      <c r="G22" s="71" t="inlineStr">
        <is>
          <t>Repositorio en qa-elliot</t>
        </is>
      </c>
      <c r="H22" s="71" t="inlineStr">
        <is>
          <t>1. Leer containers.example.json: marcadores en lugar de valores.</t>
        </is>
      </c>
      <c r="I22" s="71" t="inlineStr">
        <is>
          <t>containers.example.json</t>
        </is>
      </c>
      <c r="J22" s="71" t="inlineStr">
        <is>
          <t>La plantilla usa marcadores, no valores reales</t>
        </is>
      </c>
      <c r="K22" s="82" t="inlineStr">
        <is>
          <t>Usa &lt;password&gt; y &lt;generar con ...&gt;</t>
        </is>
      </c>
      <c r="L22" s="83" t="inlineStr">
        <is>
          <t>Aprobado</t>
        </is>
      </c>
      <c r="M22" s="82" t="inlineStr">
        <is>
          <t>—</t>
        </is>
      </c>
      <c r="N22" s="82" t="inlineStr">
        <is>
          <t>EV-CP-021</t>
        </is>
      </c>
      <c r="O22" s="82" t="inlineStr">
        <is>
          <t>QA</t>
        </is>
      </c>
      <c r="P22" s="82" t="inlineStr">
        <is>
          <t>28/10/2026</t>
        </is>
      </c>
      <c r="Q22" s="71" t="inlineStr">
        <is>
          <t>test_ht06_local.py::test_ca5_plantilla_containers_usa_marcadores</t>
        </is>
      </c>
      <c r="R22" s="71" t="inlineStr">
        <is>
          <t>Local</t>
        </is>
      </c>
      <c r="S22" s="71" t="inlineStr">
        <is>
          <t>bc5b89a (qa-elliot)</t>
        </is>
      </c>
    </row>
    <row r="23" ht="33" customHeight="1" s="33">
      <c r="A23" s="71" t="inlineStr">
        <is>
          <t>CP-022</t>
        </is>
      </c>
      <c r="B23" s="71" t="inlineStr">
        <is>
          <t>HT-06</t>
        </is>
      </c>
      <c r="C23" s="71" t="inlineStr">
        <is>
          <t>RQ-HT06-05</t>
        </is>
      </c>
      <c r="D23" s="71" t="inlineStr">
        <is>
          <t>Seguridad</t>
        </is>
      </c>
      <c r="E23" s="71" t="inlineStr">
        <is>
          <t>Alta</t>
        </is>
      </c>
      <c r="F23" s="71" t="inlineStr">
        <is>
          <t>QA</t>
        </is>
      </c>
      <c r="G23" s="71" t="inlineStr">
        <is>
          <t>Despliegue activo de Lightsail</t>
        </is>
      </c>
      <c r="H23" s="71" t="inlineStr">
        <is>
          <t>1. Listar los NOMBRES de variables de cada contenedor del despliegue v7.</t>
        </is>
      </c>
      <c r="I23" s="71" t="inlineStr">
        <is>
          <t>Servicio pangea-api</t>
        </is>
      </c>
      <c r="J23" s="71" t="inlineStr">
        <is>
          <t>Conexion y secretos llegan por variables de entorno</t>
        </is>
      </c>
      <c r="K23" s="82" t="inlineStr">
        <is>
          <t>DATABASE_URL, JWT_SECRET, FTP_CREDENTIAL_KEY y otras llegan por variables (solo se registraron los nombres)</t>
        </is>
      </c>
      <c r="L23" s="83" t="inlineStr">
        <is>
          <t>Aprobado</t>
        </is>
      </c>
      <c r="M23" s="82" t="inlineStr">
        <is>
          <t>—</t>
        </is>
      </c>
      <c r="N23" s="82" t="inlineStr">
        <is>
          <t>EV-CP-022</t>
        </is>
      </c>
      <c r="O23" s="82" t="inlineStr">
        <is>
          <t>QA</t>
        </is>
      </c>
      <c r="P23" s="82" t="inlineStr">
        <is>
          <t>28/10/2026</t>
        </is>
      </c>
      <c r="Q23" s="71" t="inlineStr">
        <is>
          <t>Manual (CloudShell: verificar_lightsail.sh)</t>
        </is>
      </c>
      <c r="R23" s="71" t="inlineStr">
        <is>
          <t>Lightsail (produccion, solo lectura)</t>
        </is>
      </c>
      <c r="S23" s="71" t="inlineStr">
        <is>
          <t>imagen api-b948aac.16</t>
        </is>
      </c>
    </row>
    <row r="24" ht="47.5" customHeight="1" s="33">
      <c r="A24" s="71" t="inlineStr">
        <is>
          <t>CP-023</t>
        </is>
      </c>
      <c r="B24" s="71" t="inlineStr">
        <is>
          <t>HT-06</t>
        </is>
      </c>
      <c r="C24" s="71" t="inlineStr">
        <is>
          <t>RQ-HT06-05</t>
        </is>
      </c>
      <c r="D24" s="71" t="inlineStr">
        <is>
          <t>Seguridad</t>
        </is>
      </c>
      <c r="E24" s="71" t="inlineStr">
        <is>
          <t>Alta</t>
        </is>
      </c>
      <c r="F24" s="71" t="inlineStr">
        <is>
          <t>QA</t>
        </is>
      </c>
      <c r="G24" s="71" t="inlineStr">
        <is>
          <t>Repositorio en qa-elliot</t>
        </is>
      </c>
      <c r="H24" s="71" t="inlineStr">
        <is>
          <t>1. Buscar en el historial de git cadenas de conexion con clave de la RDS.</t>
        </is>
      </c>
      <c r="I24" s="71" t="inlineStr">
        <is>
          <t>git log -p (containers.json, endpoint.json)</t>
        </is>
      </c>
      <c r="J24" s="71" t="inlineStr">
        <is>
          <t>El historial no contiene la contrasena de la BD (o fue rotada)</t>
        </is>
      </c>
      <c r="K24" s="82" t="inlineStr">
        <is>
          <t>El commit dba450f subio la cadena de conexion con contrasena; la rotacion sigue pendiente segun ac48238</t>
        </is>
      </c>
      <c r="L24" s="83" t="inlineStr">
        <is>
          <t>Fallido</t>
        </is>
      </c>
      <c r="M24" s="82" t="inlineStr">
        <is>
          <t>DEF-02</t>
        </is>
      </c>
      <c r="N24" s="82" t="inlineStr">
        <is>
          <t>EV-CP-023</t>
        </is>
      </c>
      <c r="O24" s="82" t="inlineStr">
        <is>
          <t>QA</t>
        </is>
      </c>
      <c r="P24" s="82" t="inlineStr">
        <is>
          <t>28/10/2026</t>
        </is>
      </c>
      <c r="Q24" s="71" t="inlineStr">
        <is>
          <t>test_ht06_local.py::test_ca5_historial_git_sin_contrasena_de_bd_remota</t>
        </is>
      </c>
      <c r="R24" s="71" t="inlineStr">
        <is>
          <t>Local</t>
        </is>
      </c>
      <c r="S24" s="71" t="inlineStr">
        <is>
          <t>bc5b89a (qa-elliot)</t>
        </is>
      </c>
    </row>
    <row r="25" ht="33" customHeight="1" s="33">
      <c r="A25" s="71" t="inlineStr">
        <is>
          <t>CP-024</t>
        </is>
      </c>
      <c r="B25" s="71" t="inlineStr">
        <is>
          <t>HT-06</t>
        </is>
      </c>
      <c r="C25" s="71" t="inlineStr">
        <is>
          <t>RQ-HT06-05</t>
        </is>
      </c>
      <c r="D25" s="71" t="inlineStr">
        <is>
          <t>Seguridad</t>
        </is>
      </c>
      <c r="E25" s="71" t="inlineStr">
        <is>
          <t>Alta</t>
        </is>
      </c>
      <c r="F25" s="71" t="inlineStr">
        <is>
          <t>QA</t>
        </is>
      </c>
      <c r="G25" s="71" t="inlineStr">
        <is>
          <t>Repositorio en qa-elliot</t>
        </is>
      </c>
      <c r="H25" s="71" t="inlineStr">
        <is>
          <t>1. Buscar JWT_SECRET y FTP_CREDENTIAL_KEY en texto plano en el historial.</t>
        </is>
      </c>
      <c r="I25" s="71" t="inlineStr">
        <is>
          <t>git log -p (containers.json)</t>
        </is>
      </c>
      <c r="J25" s="71" t="inlineStr">
        <is>
          <t>El historial no contiene los secretos (o fueron rotados)</t>
        </is>
      </c>
      <c r="K25" s="82" t="inlineStr">
        <is>
          <t>JWT_SECRET y FTP_CREDENTIAL_KEY aparecen en texto plano en el historial</t>
        </is>
      </c>
      <c r="L25" s="83" t="inlineStr">
        <is>
          <t>Fallido</t>
        </is>
      </c>
      <c r="M25" s="82" t="inlineStr">
        <is>
          <t>DEF-02</t>
        </is>
      </c>
      <c r="N25" s="82" t="inlineStr">
        <is>
          <t>EV-CP-024</t>
        </is>
      </c>
      <c r="O25" s="82" t="inlineStr">
        <is>
          <t>QA</t>
        </is>
      </c>
      <c r="P25" s="82" t="inlineStr">
        <is>
          <t>28/10/2026</t>
        </is>
      </c>
      <c r="Q25" s="71" t="inlineStr">
        <is>
          <t>test_ht06_local.py::test_ca5_secretos_jwt_y_ftp_no_en_historial</t>
        </is>
      </c>
      <c r="R25" s="71" t="inlineStr">
        <is>
          <t>Local</t>
        </is>
      </c>
      <c r="S25" s="71" t="inlineStr">
        <is>
          <t>bc5b89a (qa-elliot)</t>
        </is>
      </c>
    </row>
    <row r="26" ht="33" customHeight="1" s="33">
      <c r="A26" s="71" t="inlineStr">
        <is>
          <t>CP-025</t>
        </is>
      </c>
      <c r="B26" s="71" t="inlineStr">
        <is>
          <t>HT-06</t>
        </is>
      </c>
      <c r="C26" s="71" t="inlineStr">
        <is>
          <t>RQ-HT06-06</t>
        </is>
      </c>
      <c r="D26" s="71" t="inlineStr">
        <is>
          <t>Funcional</t>
        </is>
      </c>
      <c r="E26" s="71" t="inlineStr">
        <is>
          <t>Media</t>
        </is>
      </c>
      <c r="F26" s="71" t="inlineStr">
        <is>
          <t>QA</t>
        </is>
      </c>
      <c r="G26" s="71" t="inlineStr">
        <is>
          <t>Repositorio en qa-elliot</t>
        </is>
      </c>
      <c r="H26" s="71" t="inlineStr">
        <is>
          <t>1. Buscar la definicion de los tres entornos en el README y la configuracion.</t>
        </is>
      </c>
      <c r="I26" s="71" t="inlineStr">
        <is>
          <t>backend/README.md</t>
        </is>
      </c>
      <c r="J26" s="71" t="inlineStr">
        <is>
          <t>Estan definidos desarrollo, staging y produccion</t>
        </is>
      </c>
      <c r="K26" s="82" t="inlineStr">
        <is>
          <t>No hay definicion; en Lightsail solo existe produccion (el servidor de pruebas esta en curso)</t>
        </is>
      </c>
      <c r="L26" s="83" t="inlineStr">
        <is>
          <t>Bloqueado</t>
        </is>
      </c>
      <c r="M26" s="82" t="inlineStr">
        <is>
          <t>—</t>
        </is>
      </c>
      <c r="N26" s="82" t="inlineStr">
        <is>
          <t>EV-CP-025</t>
        </is>
      </c>
      <c r="O26" s="82" t="inlineStr">
        <is>
          <t>QA</t>
        </is>
      </c>
      <c r="P26" s="82" t="inlineStr">
        <is>
          <t>28/10/2026</t>
        </is>
      </c>
      <c r="Q26" s="71" t="inlineStr">
        <is>
          <t>test_ht06_local.py::test_entornos_dev_staging_produccion_definidos</t>
        </is>
      </c>
      <c r="R26" s="71" t="inlineStr">
        <is>
          <t>Local</t>
        </is>
      </c>
      <c r="S26" s="71" t="inlineStr">
        <is>
          <t>bc5b89a (qa-elliot)</t>
        </is>
      </c>
    </row>
    <row r="27" ht="47.5" customHeight="1" s="33">
      <c r="A27" s="71" t="inlineStr">
        <is>
          <t>CP-026</t>
        </is>
      </c>
      <c r="B27" s="71" t="inlineStr">
        <is>
          <t>HT-06</t>
        </is>
      </c>
      <c r="C27" s="71" t="inlineStr">
        <is>
          <t>RQ-HT06-07</t>
        </is>
      </c>
      <c r="D27" s="71" t="inlineStr">
        <is>
          <t>Funcional</t>
        </is>
      </c>
      <c r="E27" s="71" t="inlineStr">
        <is>
          <t>Media</t>
        </is>
      </c>
      <c r="F27" s="71" t="inlineStr">
        <is>
          <t>QA</t>
        </is>
      </c>
      <c r="G27" s="71" t="inlineStr">
        <is>
          <t>Repositorio en qa-elliot</t>
        </is>
      </c>
      <c r="H27" s="71" t="inlineStr">
        <is>
          <t>1. Buscar el umbral de migracion (5 clientes activos o dashboard &gt; 3 s).</t>
        </is>
      </c>
      <c r="I27" s="71" t="inlineStr">
        <is>
          <t>backend/README.md</t>
        </is>
      </c>
      <c r="J27" s="71" t="inlineStr">
        <is>
          <t>El umbral esta documentado y apunta a TimescaleDB</t>
        </is>
      </c>
      <c r="K27" s="82" t="inlineStr">
        <is>
          <t>No esta documentado</t>
        </is>
      </c>
      <c r="L27" s="83" t="inlineStr">
        <is>
          <t>Bloqueado</t>
        </is>
      </c>
      <c r="M27" s="82" t="inlineStr">
        <is>
          <t>—</t>
        </is>
      </c>
      <c r="N27" s="82" t="inlineStr">
        <is>
          <t>EV-CP-026</t>
        </is>
      </c>
      <c r="O27" s="82" t="inlineStr">
        <is>
          <t>QA</t>
        </is>
      </c>
      <c r="P27" s="82" t="inlineStr">
        <is>
          <t>28/10/2026</t>
        </is>
      </c>
      <c r="Q27" s="71" t="inlineStr">
        <is>
          <t>test_ht06_local.py::test_umbral_migracion_timescaledb_documentado</t>
        </is>
      </c>
      <c r="R27" s="71" t="inlineStr">
        <is>
          <t>Local</t>
        </is>
      </c>
      <c r="S27" s="71" t="inlineStr">
        <is>
          <t>bc5b89a (qa-elliot)</t>
        </is>
      </c>
    </row>
    <row r="28" ht="33" customHeight="1" s="33">
      <c r="A28" s="71" t="inlineStr">
        <is>
          <t>CP-027</t>
        </is>
      </c>
      <c r="B28" s="71" t="inlineStr">
        <is>
          <t>HT-06</t>
        </is>
      </c>
      <c r="C28" s="71" t="inlineStr">
        <is>
          <t>RQ-HT06-08</t>
        </is>
      </c>
      <c r="D28" s="71" t="inlineStr">
        <is>
          <t>Funcional</t>
        </is>
      </c>
      <c r="E28" s="71" t="inlineStr">
        <is>
          <t>Media</t>
        </is>
      </c>
      <c r="F28" s="71" t="inlineStr">
        <is>
          <t>QA</t>
        </is>
      </c>
      <c r="G28" s="71" t="inlineStr">
        <is>
          <t>Repositorio en qa-elliot</t>
        </is>
      </c>
      <c r="H28" s="71" t="inlineStr">
        <is>
          <t>1. Buscar la restriccion de PostGIS en Lightsail en la documentacion.</t>
        </is>
      </c>
      <c r="I28" s="71" t="inlineStr">
        <is>
          <t>backend/README.md</t>
        </is>
      </c>
      <c r="J28" s="71" t="inlineStr">
        <is>
          <t>La restriccion de PostGIS esta documentada junto con la de TimescaleDB</t>
        </is>
      </c>
      <c r="K28" s="82" t="inlineStr">
        <is>
          <t>PostGIS no se menciona</t>
        </is>
      </c>
      <c r="L28" s="83" t="inlineStr">
        <is>
          <t>Bloqueado</t>
        </is>
      </c>
      <c r="M28" s="82" t="inlineStr">
        <is>
          <t>—</t>
        </is>
      </c>
      <c r="N28" s="82" t="inlineStr">
        <is>
          <t>EV-CP-027</t>
        </is>
      </c>
      <c r="O28" s="82" t="inlineStr">
        <is>
          <t>QA</t>
        </is>
      </c>
      <c r="P28" s="82" t="inlineStr">
        <is>
          <t>28/10/2026</t>
        </is>
      </c>
      <c r="Q28" s="71" t="inlineStr">
        <is>
          <t>test_ht06_local.py::test_postgis_restriccion_documentada</t>
        </is>
      </c>
      <c r="R28" s="71" t="inlineStr">
        <is>
          <t>Local</t>
        </is>
      </c>
      <c r="S28" s="71" t="inlineStr">
        <is>
          <t>bc5b89a (qa-elliot)</t>
        </is>
      </c>
    </row>
    <row r="29" ht="47.5" customHeight="1" s="33">
      <c r="A29" s="71" t="inlineStr">
        <is>
          <t>CP-028</t>
        </is>
      </c>
      <c r="B29" s="71" t="inlineStr">
        <is>
          <t>HT-06</t>
        </is>
      </c>
      <c r="C29" s="71" t="inlineStr">
        <is>
          <t>RQ-HT06-08</t>
        </is>
      </c>
      <c r="D29" s="71" t="inlineStr">
        <is>
          <t>Funcional</t>
        </is>
      </c>
      <c r="E29" s="71" t="inlineStr">
        <is>
          <t>Media</t>
        </is>
      </c>
      <c r="F29" s="71" t="inlineStr">
        <is>
          <t>QA</t>
        </is>
      </c>
      <c r="G29" s="71" t="inlineStr">
        <is>
          <t>Repositorio en qa-elliot</t>
        </is>
      </c>
      <c r="H29" s="71" t="inlineStr">
        <is>
          <t>1. Leer el modelo de ubicacion: columna del poligono.</t>
        </is>
      </c>
      <c r="I29" s="71" t="inlineStr">
        <is>
          <t>app/models/ubicacion_conexion.py</t>
        </is>
      </c>
      <c r="J29" s="71" t="inlineStr">
        <is>
          <t>El poligono se guarda como GeoJSON en una columna JSON</t>
        </is>
      </c>
      <c r="K29" s="82" t="inlineStr">
        <is>
          <t>plgn_gjsn es JSONB (GeoJSON)</t>
        </is>
      </c>
      <c r="L29" s="83" t="inlineStr">
        <is>
          <t>Aprobado</t>
        </is>
      </c>
      <c r="M29" s="82" t="inlineStr">
        <is>
          <t>—</t>
        </is>
      </c>
      <c r="N29" s="82" t="inlineStr">
        <is>
          <t>EV-CP-028</t>
        </is>
      </c>
      <c r="O29" s="82" t="inlineStr">
        <is>
          <t>QA</t>
        </is>
      </c>
      <c r="P29" s="82" t="inlineStr">
        <is>
          <t>28/10/2026</t>
        </is>
      </c>
      <c r="Q29" s="71" t="inlineStr">
        <is>
          <t>test_ht06_local.py::test_poligonos_como_geojson_en_columna_json</t>
        </is>
      </c>
      <c r="R29" s="71" t="inlineStr">
        <is>
          <t>Local</t>
        </is>
      </c>
      <c r="S29" s="71" t="inlineStr">
        <is>
          <t>bc5b89a (qa-elliot)</t>
        </is>
      </c>
    </row>
    <row r="30" ht="47.5" customHeight="1" s="33">
      <c r="A30" s="71" t="inlineStr">
        <is>
          <t>CP-029</t>
        </is>
      </c>
      <c r="B30" s="71" t="inlineStr">
        <is>
          <t>HT-06</t>
        </is>
      </c>
      <c r="C30" s="71" t="inlineStr">
        <is>
          <t>RQ-HT06-07</t>
        </is>
      </c>
      <c r="D30" s="71" t="inlineStr">
        <is>
          <t>Funcional</t>
        </is>
      </c>
      <c r="E30" s="71" t="inlineStr">
        <is>
          <t>Baja</t>
        </is>
      </c>
      <c r="F30" s="71" t="inlineStr">
        <is>
          <t>QA</t>
        </is>
      </c>
      <c r="G30" s="71" t="inlineStr">
        <is>
          <t>Repositorio en qa-elliot</t>
        </is>
      </c>
      <c r="H30" s="71" t="inlineStr">
        <is>
          <t>1. Comprobar el job de particiones de telemetria (alternativa a TimescaleDB).</t>
        </is>
      </c>
      <c r="I30" s="71" t="inlineStr">
        <is>
          <t>app/tasks/particiones.py</t>
        </is>
      </c>
      <c r="J30" s="71" t="inlineStr">
        <is>
          <t>Se aplica particionamiento nativo de PostgreSQL</t>
        </is>
      </c>
      <c r="K30" s="82" t="inlineStr">
        <is>
          <t>Existe app/tasks/particiones.py</t>
        </is>
      </c>
      <c r="L30" s="83" t="inlineStr">
        <is>
          <t>Aprobado</t>
        </is>
      </c>
      <c r="M30" s="82" t="inlineStr">
        <is>
          <t>—</t>
        </is>
      </c>
      <c r="N30" s="82" t="inlineStr">
        <is>
          <t>EV-CP-029</t>
        </is>
      </c>
      <c r="O30" s="82" t="inlineStr">
        <is>
          <t>QA</t>
        </is>
      </c>
      <c r="P30" s="82" t="inlineStr">
        <is>
          <t>28/10/2026</t>
        </is>
      </c>
      <c r="Q30" s="71" t="inlineStr">
        <is>
          <t>test_ht06_local.py::test_particionamiento_nativo_en_lugar_de_timescaledb</t>
        </is>
      </c>
      <c r="R30" s="71" t="inlineStr">
        <is>
          <t>Local</t>
        </is>
      </c>
      <c r="S30" s="71" t="inlineStr">
        <is>
          <t>bc5b89a (qa-elliot)</t>
        </is>
      </c>
    </row>
    <row r="31" ht="47.5" customHeight="1" s="33">
      <c r="A31" s="71" t="inlineStr">
        <is>
          <t>CP-030</t>
        </is>
      </c>
      <c r="B31" s="71" t="inlineStr">
        <is>
          <t>HU-18</t>
        </is>
      </c>
      <c r="C31" s="71" t="inlineStr">
        <is>
          <t>RQ-HU18-02</t>
        </is>
      </c>
      <c r="D31" s="71" t="inlineStr">
        <is>
          <t>Funcional</t>
        </is>
      </c>
      <c r="E31" s="71" t="inlineStr">
        <is>
          <t>Alta</t>
        </is>
      </c>
      <c r="F31" s="71" t="inlineStr">
        <is>
          <t>Técnico CENERIS (Edición en Dispositivos)</t>
        </is>
      </c>
      <c r="G31" s="71" t="inlineStr">
        <is>
          <t>Empresa con suscripción vigente; dispositivo Activo con su conexión FTP</t>
        </is>
      </c>
      <c r="H31" s="71" t="inlineStr">
        <is>
          <t>1. DELETE /dispositivos/{id}. 2. Releer el dispositivo.</t>
        </is>
      </c>
      <c r="I31" s="71" t="inlineStr">
        <is>
          <t>Dispositivo CR1000-01 Activo, BD pangea_test</t>
        </is>
      </c>
      <c r="J31" s="71" t="inlineStr">
        <is>
          <t>200, mensaje «Dispositivo desactivado correctamente» y estado Inactivo (CA2)</t>
        </is>
      </c>
      <c r="K31" s="82" t="inlineStr">
        <is>
          <t>200, mensaje exacto y estado Inactivo</t>
        </is>
      </c>
      <c r="L31" s="83" t="inlineStr">
        <is>
          <t>Aprobado</t>
        </is>
      </c>
      <c r="M31" s="82" t="inlineStr">
        <is>
          <t>—</t>
        </is>
      </c>
      <c r="N31" s="82" t="inlineStr">
        <is>
          <t>EV-CP-030</t>
        </is>
      </c>
      <c r="O31" s="82" t="inlineStr">
        <is>
          <t>QA</t>
        </is>
      </c>
      <c r="P31" s="82" t="inlineStr">
        <is>
          <t>30/10/2026</t>
        </is>
      </c>
      <c r="Q31" s="71" t="inlineStr">
        <is>
          <t>test_hu18_qa.py::TestDesactivarCA2::test_cp_desactivar_activo_cambia_estado_y_mensaje</t>
        </is>
      </c>
      <c r="R31" s="71" t="inlineStr">
        <is>
          <t>Local</t>
        </is>
      </c>
      <c r="S31" s="71" t="inlineStr">
        <is>
          <t>27ac90a (qa-elliot, incluye dccdb60)</t>
        </is>
      </c>
    </row>
    <row r="32" ht="47.5" customHeight="1" s="33">
      <c r="A32" s="71" t="inlineStr">
        <is>
          <t>CP-031</t>
        </is>
      </c>
      <c r="B32" s="71" t="inlineStr">
        <is>
          <t>HU-18</t>
        </is>
      </c>
      <c r="C32" s="71" t="inlineStr">
        <is>
          <t>RQ-HU18-02</t>
        </is>
      </c>
      <c r="D32" s="71" t="inlineStr">
        <is>
          <t>Funcional</t>
        </is>
      </c>
      <c r="E32" s="71" t="inlineStr">
        <is>
          <t>Media</t>
        </is>
      </c>
      <c r="F32" s="71" t="inlineStr">
        <is>
          <t>Técnico CENERIS (Edición en Dispositivos)</t>
        </is>
      </c>
      <c r="G32" s="71" t="inlineStr">
        <is>
          <t>Empresa con suscripción vigente; dispositivo Activo con su conexión FTP</t>
        </is>
      </c>
      <c r="H32" s="71" t="inlineStr">
        <is>
          <t>1. Desactivar el dispositivo. 2. Buscar la fila en la BD.</t>
        </is>
      </c>
      <c r="I32" s="71" t="inlineStr">
        <is>
          <t>Dispositivo CR1000-01</t>
        </is>
      </c>
      <c r="J32" s="71" t="inlineStr">
        <is>
          <t>La fila sigue existiendo: se desactiva sin eliminarlo del sistema</t>
        </is>
      </c>
      <c r="K32" s="82" t="inlineStr">
        <is>
          <t>La fila sigue existiendo con estado Inactivo</t>
        </is>
      </c>
      <c r="L32" s="83" t="inlineStr">
        <is>
          <t>Aprobado</t>
        </is>
      </c>
      <c r="M32" s="82" t="inlineStr">
        <is>
          <t>—</t>
        </is>
      </c>
      <c r="N32" s="82" t="inlineStr">
        <is>
          <t>EV-CP-031</t>
        </is>
      </c>
      <c r="O32" s="82" t="inlineStr">
        <is>
          <t>QA</t>
        </is>
      </c>
      <c r="P32" s="82" t="inlineStr">
        <is>
          <t>30/10/2026</t>
        </is>
      </c>
      <c r="Q32" s="71" t="inlineStr">
        <is>
          <t>test_hu18_qa.py::TestDesactivarCA2::test_cp_no_elimina_la_fila</t>
        </is>
      </c>
      <c r="R32" s="71" t="inlineStr">
        <is>
          <t>Local</t>
        </is>
      </c>
      <c r="S32" s="71" t="inlineStr">
        <is>
          <t>27ac90a (qa-elliot, incluye dccdb60)</t>
        </is>
      </c>
    </row>
    <row r="33" ht="47.5" customHeight="1" s="33">
      <c r="A33" s="71" t="inlineStr">
        <is>
          <t>CP-032</t>
        </is>
      </c>
      <c r="B33" s="71" t="inlineStr">
        <is>
          <t>HU-18</t>
        </is>
      </c>
      <c r="C33" s="71" t="inlineStr">
        <is>
          <t>RQ-HU18-02</t>
        </is>
      </c>
      <c r="D33" s="71" t="inlineStr">
        <is>
          <t>Negativa</t>
        </is>
      </c>
      <c r="E33" s="71" t="inlineStr">
        <is>
          <t>Media</t>
        </is>
      </c>
      <c r="F33" s="71" t="inlineStr">
        <is>
          <t>Técnico CENERIS (Edición en Dispositivos)</t>
        </is>
      </c>
      <c r="G33" s="71" t="inlineStr">
        <is>
          <t>Dispositivo ya Inactivo</t>
        </is>
      </c>
      <c r="H33" s="71" t="inlineStr">
        <is>
          <t>1. DELETE /dispositivos/{id} sobre un dispositivo Inactivo.</t>
        </is>
      </c>
      <c r="I33" s="71" t="inlineStr">
        <is>
          <t>Dispositivo Inactivo</t>
        </is>
      </c>
      <c r="J33" s="71" t="inlineStr">
        <is>
          <t>409 «Este dispositivo ya está inactivo»</t>
        </is>
      </c>
      <c r="K33" s="82" t="inlineStr">
        <is>
          <t>409 con ese detalle</t>
        </is>
      </c>
      <c r="L33" s="83" t="inlineStr">
        <is>
          <t>Aprobado</t>
        </is>
      </c>
      <c r="M33" s="82" t="inlineStr">
        <is>
          <t>—</t>
        </is>
      </c>
      <c r="N33" s="82" t="inlineStr">
        <is>
          <t>EV-CP-032</t>
        </is>
      </c>
      <c r="O33" s="82" t="inlineStr">
        <is>
          <t>QA</t>
        </is>
      </c>
      <c r="P33" s="82" t="inlineStr">
        <is>
          <t>30/10/2026</t>
        </is>
      </c>
      <c r="Q33" s="71" t="inlineStr">
        <is>
          <t>test_hu18_qa.py::TestDesactivarCA2::test_cp_desactivar_ya_inactivo_409</t>
        </is>
      </c>
      <c r="R33" s="71" t="inlineStr">
        <is>
          <t>Local</t>
        </is>
      </c>
      <c r="S33" s="71" t="inlineStr">
        <is>
          <t>27ac90a (qa-elliot, incluye dccdb60)</t>
        </is>
      </c>
    </row>
    <row r="34" ht="47.5" customHeight="1" s="33">
      <c r="A34" s="71" t="inlineStr">
        <is>
          <t>CP-033</t>
        </is>
      </c>
      <c r="B34" s="71" t="inlineStr">
        <is>
          <t>HU-18</t>
        </is>
      </c>
      <c r="C34" s="71" t="inlineStr">
        <is>
          <t>RQ-HU18-02</t>
        </is>
      </c>
      <c r="D34" s="71" t="inlineStr">
        <is>
          <t>Negativa</t>
        </is>
      </c>
      <c r="E34" s="71" t="inlineStr">
        <is>
          <t>Media</t>
        </is>
      </c>
      <c r="F34" s="71" t="inlineStr">
        <is>
          <t>Técnico CENERIS (Edición en Dispositivos)</t>
        </is>
      </c>
      <c r="G34" s="71" t="inlineStr">
        <is>
          <t>Ninguna</t>
        </is>
      </c>
      <c r="H34" s="71" t="inlineStr">
        <is>
          <t>1. DELETE /dispositivos/999999.</t>
        </is>
      </c>
      <c r="I34" s="71" t="inlineStr">
        <is>
          <t>Id inexistente</t>
        </is>
      </c>
      <c r="J34" s="71" t="inlineStr">
        <is>
          <t>404</t>
        </is>
      </c>
      <c r="K34" s="82" t="inlineStr">
        <is>
          <t>404</t>
        </is>
      </c>
      <c r="L34" s="83" t="inlineStr">
        <is>
          <t>Aprobado</t>
        </is>
      </c>
      <c r="M34" s="82" t="inlineStr">
        <is>
          <t>—</t>
        </is>
      </c>
      <c r="N34" s="82" t="inlineStr">
        <is>
          <t>EV-CP-033</t>
        </is>
      </c>
      <c r="O34" s="82" t="inlineStr">
        <is>
          <t>QA</t>
        </is>
      </c>
      <c r="P34" s="82" t="inlineStr">
        <is>
          <t>30/10/2026</t>
        </is>
      </c>
      <c r="Q34" s="71" t="inlineStr">
        <is>
          <t>test_hu18_qa.py::TestDesactivarCA2::test_cp_desactivar_inexistente_404</t>
        </is>
      </c>
      <c r="R34" s="71" t="inlineStr">
        <is>
          <t>Local</t>
        </is>
      </c>
      <c r="S34" s="71" t="inlineStr">
        <is>
          <t>27ac90a (qa-elliot, incluye dccdb60)</t>
        </is>
      </c>
    </row>
    <row r="35" ht="47.5" customHeight="1" s="33">
      <c r="A35" s="71" t="inlineStr">
        <is>
          <t>CP-034</t>
        </is>
      </c>
      <c r="B35" s="71" t="inlineStr">
        <is>
          <t>HU-18</t>
        </is>
      </c>
      <c r="C35" s="71" t="inlineStr">
        <is>
          <t>RQ-HU18-02</t>
        </is>
      </c>
      <c r="D35" s="71" t="inlineStr">
        <is>
          <t>Negativa</t>
        </is>
      </c>
      <c r="E35" s="71" t="inlineStr">
        <is>
          <t>Media</t>
        </is>
      </c>
      <c r="F35" s="71" t="inlineStr">
        <is>
          <t>Técnico CENERIS (Edición en Dispositivos)</t>
        </is>
      </c>
      <c r="G35" s="71" t="inlineStr">
        <is>
          <t>Empresa SIN suscripción vigente; dispositivo Activo</t>
        </is>
      </c>
      <c r="H35" s="71" t="inlineStr">
        <is>
          <t>1. DELETE /dispositivos/{id}. 2. Releer el dispositivo.</t>
        </is>
      </c>
      <c r="I35" s="71" t="inlineStr">
        <is>
          <t>Empresa sin contrato</t>
        </is>
      </c>
      <c r="J35" s="71" t="inlineStr">
        <is>
          <t>La HU no pone esta condición; se registra lo que hace el sistema (OBS-09)</t>
        </is>
      </c>
      <c r="K35" s="82" t="inlineStr">
        <is>
          <t>409 «La empresa está en modo consulta…» y el dispositivo sigue Activo</t>
        </is>
      </c>
      <c r="L35" s="83" t="inlineStr">
        <is>
          <t>Aprobado</t>
        </is>
      </c>
      <c r="M35" s="82" t="inlineStr">
        <is>
          <t>—</t>
        </is>
      </c>
      <c r="N35" s="82" t="inlineStr">
        <is>
          <t>EV-CP-034</t>
        </is>
      </c>
      <c r="O35" s="82" t="inlineStr">
        <is>
          <t>QA</t>
        </is>
      </c>
      <c r="P35" s="82" t="inlineStr">
        <is>
          <t>30/10/2026</t>
        </is>
      </c>
      <c r="Q35" s="71" t="inlineStr">
        <is>
          <t>test_hu18_qa.py::TestDesactivarCA2::test_cp_empresa_sin_suscripcion_vigente_409</t>
        </is>
      </c>
      <c r="R35" s="71" t="inlineStr">
        <is>
          <t>Local</t>
        </is>
      </c>
      <c r="S35" s="71" t="inlineStr">
        <is>
          <t>27ac90a (qa-elliot, incluye dccdb60)</t>
        </is>
      </c>
    </row>
    <row r="36" ht="47.5" customHeight="1" s="33">
      <c r="A36" s="71" t="inlineStr">
        <is>
          <t>CP-035</t>
        </is>
      </c>
      <c r="B36" s="71" t="inlineStr">
        <is>
          <t>HU-18</t>
        </is>
      </c>
      <c r="C36" s="71" t="inlineStr">
        <is>
          <t>RQ-HU18-03</t>
        </is>
      </c>
      <c r="D36" s="71" t="inlineStr">
        <is>
          <t>Funcional</t>
        </is>
      </c>
      <c r="E36" s="71" t="inlineStr">
        <is>
          <t>Alta</t>
        </is>
      </c>
      <c r="F36" s="71" t="inlineStr">
        <is>
          <t>Técnico CENERIS (Edición en Dispositivos)</t>
        </is>
      </c>
      <c r="G36" s="71" t="inlineStr">
        <is>
          <t>Empresa con suscripción vigente; dispositivo Activo con su conexión FTP; otro dispositivo Activo en la misma sede</t>
        </is>
      </c>
      <c r="H36" s="71" t="inlineStr">
        <is>
          <t>1. Desactivar un dispositivo. 2. GET /dispositivos. 3. GET /dispositivos?estado=Inactivo.</t>
        </is>
      </c>
      <c r="I36" s="71" t="inlineStr">
        <is>
          <t>Dispositivos DESACT-01 y ACTIVO-02</t>
        </is>
      </c>
      <c r="J36" s="71" t="inlineStr">
        <is>
          <t>El listado muestra DESACT-01 Inactivo y ACTIVO-02 Activo; el filtro Inactivo devuelve solo el primero (CA3)</t>
        </is>
      </c>
      <c r="K36" s="82" t="inlineStr">
        <is>
          <t>Coincide</t>
        </is>
      </c>
      <c r="L36" s="83" t="inlineStr">
        <is>
          <t>Aprobado</t>
        </is>
      </c>
      <c r="M36" s="82" t="inlineStr">
        <is>
          <t>—</t>
        </is>
      </c>
      <c r="N36" s="82" t="inlineStr">
        <is>
          <t>EV-CP-035</t>
        </is>
      </c>
      <c r="O36" s="82" t="inlineStr">
        <is>
          <t>QA</t>
        </is>
      </c>
      <c r="P36" s="82" t="inlineStr">
        <is>
          <t>30/10/2026</t>
        </is>
      </c>
      <c r="Q36" s="71" t="inlineStr">
        <is>
          <t>test_hu18_qa.py::TestListadoYReactivarCA3::test_cp_listado_muestra_inactivo_y_filtra_por_estado</t>
        </is>
      </c>
      <c r="R36" s="71" t="inlineStr">
        <is>
          <t>Local</t>
        </is>
      </c>
      <c r="S36" s="71" t="inlineStr">
        <is>
          <t>27ac90a (qa-elliot, incluye dccdb60)</t>
        </is>
      </c>
    </row>
    <row r="37" ht="47.5" customHeight="1" s="33">
      <c r="A37" s="71" t="inlineStr">
        <is>
          <t>CP-036</t>
        </is>
      </c>
      <c r="B37" s="71" t="inlineStr">
        <is>
          <t>HU-18</t>
        </is>
      </c>
      <c r="C37" s="71" t="inlineStr">
        <is>
          <t>RQ-HU18-06</t>
        </is>
      </c>
      <c r="D37" s="71" t="inlineStr">
        <is>
          <t>Funcional</t>
        </is>
      </c>
      <c r="E37" s="71" t="inlineStr">
        <is>
          <t>Media</t>
        </is>
      </c>
      <c r="F37" s="71" t="inlineStr">
        <is>
          <t>Técnico CENERIS (Edición en Dispositivos)</t>
        </is>
      </c>
      <c r="G37" s="71" t="inlineStr">
        <is>
          <t>Empresa con suscripción vigente; dispositivo Activo con su conexión FTP</t>
        </is>
      </c>
      <c r="H37" s="71" t="inlineStr">
        <is>
          <t>1. Desactivar. 2. POST /dispositivos/{id}/reactivar.</t>
        </is>
      </c>
      <c r="I37" s="71" t="inlineStr">
        <is>
          <t>Dispositivo CR1000-01</t>
        </is>
      </c>
      <c r="J37" s="71" t="inlineStr">
        <is>
          <t>200 y estado Activo</t>
        </is>
      </c>
      <c r="K37" s="82" t="inlineStr">
        <is>
          <t>200 y estado Activo</t>
        </is>
      </c>
      <c r="L37" s="83" t="inlineStr">
        <is>
          <t>Aprobado</t>
        </is>
      </c>
      <c r="M37" s="82" t="inlineStr">
        <is>
          <t>—</t>
        </is>
      </c>
      <c r="N37" s="82" t="inlineStr">
        <is>
          <t>EV-CP-036</t>
        </is>
      </c>
      <c r="O37" s="82" t="inlineStr">
        <is>
          <t>QA</t>
        </is>
      </c>
      <c r="P37" s="82" t="inlineStr">
        <is>
          <t>30/10/2026</t>
        </is>
      </c>
      <c r="Q37" s="71" t="inlineStr">
        <is>
          <t>test_hu18_qa.py::TestListadoYReactivarCA3::test_cp_reactivar_vuelve_a_activo</t>
        </is>
      </c>
      <c r="R37" s="71" t="inlineStr">
        <is>
          <t>Local</t>
        </is>
      </c>
      <c r="S37" s="71" t="inlineStr">
        <is>
          <t>27ac90a (qa-elliot, incluye dccdb60)</t>
        </is>
      </c>
    </row>
    <row r="38" ht="47.5" customHeight="1" s="33">
      <c r="A38" s="71" t="inlineStr">
        <is>
          <t>CP-037</t>
        </is>
      </c>
      <c r="B38" s="71" t="inlineStr">
        <is>
          <t>HU-18</t>
        </is>
      </c>
      <c r="C38" s="71" t="inlineStr">
        <is>
          <t>RQ-HU18-06</t>
        </is>
      </c>
      <c r="D38" s="71" t="inlineStr">
        <is>
          <t>Negativa</t>
        </is>
      </c>
      <c r="E38" s="71" t="inlineStr">
        <is>
          <t>Media</t>
        </is>
      </c>
      <c r="F38" s="71" t="inlineStr">
        <is>
          <t>Técnico CENERIS (Edición en Dispositivos)</t>
        </is>
      </c>
      <c r="G38" s="71" t="inlineStr">
        <is>
          <t>Dispositivo Activo</t>
        </is>
      </c>
      <c r="H38" s="71" t="inlineStr">
        <is>
          <t>1. POST /dispositivos/{id}/reactivar sobre un dispositivo Activo.</t>
        </is>
      </c>
      <c r="I38" s="71" t="inlineStr">
        <is>
          <t>Dispositivo Activo</t>
        </is>
      </c>
      <c r="J38" s="71" t="inlineStr">
        <is>
          <t>409</t>
        </is>
      </c>
      <c r="K38" s="82" t="inlineStr">
        <is>
          <t>409</t>
        </is>
      </c>
      <c r="L38" s="83" t="inlineStr">
        <is>
          <t>Aprobado</t>
        </is>
      </c>
      <c r="M38" s="82" t="inlineStr">
        <is>
          <t>—</t>
        </is>
      </c>
      <c r="N38" s="82" t="inlineStr">
        <is>
          <t>EV-CP-037</t>
        </is>
      </c>
      <c r="O38" s="82" t="inlineStr">
        <is>
          <t>QA</t>
        </is>
      </c>
      <c r="P38" s="82" t="inlineStr">
        <is>
          <t>30/10/2026</t>
        </is>
      </c>
      <c r="Q38" s="71" t="inlineStr">
        <is>
          <t>test_hu18_qa.py::TestListadoYReactivarCA3::test_cp_reactivar_activo_409</t>
        </is>
      </c>
      <c r="R38" s="71" t="inlineStr">
        <is>
          <t>Local</t>
        </is>
      </c>
      <c r="S38" s="71" t="inlineStr">
        <is>
          <t>27ac90a (qa-elliot, incluye dccdb60)</t>
        </is>
      </c>
    </row>
    <row r="39" ht="47.5" customHeight="1" s="33">
      <c r="A39" s="71" t="inlineStr">
        <is>
          <t>CP-038</t>
        </is>
      </c>
      <c r="B39" s="71" t="inlineStr">
        <is>
          <t>HU-18</t>
        </is>
      </c>
      <c r="C39" s="71" t="inlineStr">
        <is>
          <t>RQ-HU18-02</t>
        </is>
      </c>
      <c r="D39" s="71" t="inlineStr">
        <is>
          <t>Funcional</t>
        </is>
      </c>
      <c r="E39" s="71" t="inlineStr">
        <is>
          <t>Media</t>
        </is>
      </c>
      <c r="F39" s="71" t="inlineStr">
        <is>
          <t>Técnico CENERIS (Edición en Dispositivos)</t>
        </is>
      </c>
      <c r="G39" s="71" t="inlineStr">
        <is>
          <t>Empresa con suscripción vigente; dispositivo Activo con su conexión FTP (caso de control)</t>
        </is>
      </c>
      <c r="H39" s="71" t="inlineStr">
        <is>
          <t>1. Ejecutar el sondeo de Celery con un archivo nuevo en el FTP (listado simulado).</t>
        </is>
      </c>
      <c r="I39" s="71" t="inlineStr">
        <is>
          <t>H_2026-10-28_00-00-00.dat</t>
        </is>
      </c>
      <c r="J39" s="71" t="inlineStr">
        <is>
          <t>Un dispositivo Activo sí se sondea y su archivo se registra</t>
        </is>
      </c>
      <c r="K39" s="82" t="inlineStr">
        <is>
          <t>1 archivo registrado y encolado</t>
        </is>
      </c>
      <c r="L39" s="83" t="inlineStr">
        <is>
          <t>Aprobado</t>
        </is>
      </c>
      <c r="M39" s="82" t="inlineStr">
        <is>
          <t>—</t>
        </is>
      </c>
      <c r="N39" s="82" t="inlineStr">
        <is>
          <t>EV-CP-038</t>
        </is>
      </c>
      <c r="O39" s="82" t="inlineStr">
        <is>
          <t>QA</t>
        </is>
      </c>
      <c r="P39" s="82" t="inlineStr">
        <is>
          <t>30/10/2026</t>
        </is>
      </c>
      <c r="Q39" s="71" t="inlineStr">
        <is>
          <t>test_hu18_qa.py::TestPollingFTPPP190::test_cp_control_dispositivo_activo_si_se_sondea</t>
        </is>
      </c>
      <c r="R39" s="71" t="inlineStr">
        <is>
          <t>Local</t>
        </is>
      </c>
      <c r="S39" s="71" t="inlineStr">
        <is>
          <t>27ac90a (qa-elliot, incluye dccdb60)</t>
        </is>
      </c>
    </row>
    <row r="40" ht="47.5" customHeight="1" s="33">
      <c r="A40" s="71" t="inlineStr">
        <is>
          <t>CP-039</t>
        </is>
      </c>
      <c r="B40" s="71" t="inlineStr">
        <is>
          <t>HU-18</t>
        </is>
      </c>
      <c r="C40" s="71" t="inlineStr">
        <is>
          <t>RQ-HU18-02</t>
        </is>
      </c>
      <c r="D40" s="71" t="inlineStr">
        <is>
          <t>Funcional</t>
        </is>
      </c>
      <c r="E40" s="71" t="inlineStr">
        <is>
          <t>Alta</t>
        </is>
      </c>
      <c r="F40" s="71" t="inlineStr">
        <is>
          <t>Técnico CENERIS (Edición en Dispositivos)</t>
        </is>
      </c>
      <c r="G40" s="71" t="inlineStr">
        <is>
          <t>Empresa con suscripción vigente; dispositivo Activo con su conexión FTP</t>
        </is>
      </c>
      <c r="H40" s="71" t="inlineStr">
        <is>
          <t>1. Desactivar el dispositivo. 2. Ejecutar el sondeo de Celery con un archivo nuevo (listado simulado).</t>
        </is>
      </c>
      <c r="I40" s="71" t="inlineStr">
        <is>
          <t>H_2026-10-28_00-00-00.dat</t>
        </is>
      </c>
      <c r="J40" s="71" t="inlineStr">
        <is>
          <t>El sondeo no se conecta al FTP del dispositivo desactivado ni registra archivos (PP-190, CA2)</t>
        </is>
      </c>
      <c r="K40" s="82" t="inlineStr">
        <is>
          <t>El sondeo no se conecta al FTP del dispositivo desactivado ni registra archivos nuevos</t>
        </is>
      </c>
      <c r="L40" s="83" t="inlineStr">
        <is>
          <t>Aprobado</t>
        </is>
      </c>
      <c r="M40" s="82" t="inlineStr">
        <is>
          <t>DEF-04 (cerrado)</t>
        </is>
      </c>
      <c r="N40" s="82" t="inlineStr">
        <is>
          <t>EV-CP-039</t>
        </is>
      </c>
      <c r="O40" s="82" t="inlineStr">
        <is>
          <t>QA</t>
        </is>
      </c>
      <c r="P40" s="82" t="inlineStr">
        <is>
          <t>30/10/2026</t>
        </is>
      </c>
      <c r="Q40" s="71" t="inlineStr">
        <is>
          <t>test_hu18_qa.py::TestPollingFTPPP190::test_cp_dispositivo_desactivado_no_se_sondea</t>
        </is>
      </c>
      <c r="R40" s="71" t="inlineStr">
        <is>
          <t>Local</t>
        </is>
      </c>
      <c r="S40" s="71" t="inlineStr">
        <is>
          <t>27ac90a (qa-elliot, incluye dccdb60)</t>
        </is>
      </c>
    </row>
    <row r="41" ht="47.5" customHeight="1" s="33">
      <c r="A41" s="71" t="inlineStr">
        <is>
          <t>CP-040</t>
        </is>
      </c>
      <c r="B41" s="71" t="inlineStr">
        <is>
          <t>HU-18</t>
        </is>
      </c>
      <c r="C41" s="71" t="inlineStr">
        <is>
          <t>RQ-HU18-02</t>
        </is>
      </c>
      <c r="D41" s="71" t="inlineStr">
        <is>
          <t>Funcional</t>
        </is>
      </c>
      <c r="E41" s="71" t="inlineStr">
        <is>
          <t>Alta</t>
        </is>
      </c>
      <c r="F41" s="71" t="inlineStr">
        <is>
          <t>Técnico CENERIS (Edición en Dispositivos)</t>
        </is>
      </c>
      <c r="G41" s="71" t="inlineStr">
        <is>
          <t>Empresa con suscripción vigente; dispositivo Activo con su conexión FTP; segundo dispositivo Activo con otra conexión</t>
        </is>
      </c>
      <c r="H41" s="71" t="inlineStr">
        <is>
          <t>1. Desactivar el dispositivo A. 2. Ejecutar el sondeo.</t>
        </is>
      </c>
      <c r="I41" s="71" t="inlineStr">
        <is>
          <t>Dispositivos A y B</t>
        </is>
      </c>
      <c r="J41" s="71" t="inlineStr">
        <is>
          <t>Solo se detiene A: B sigue sondeándose (solo el polling de ese equipo)</t>
        </is>
      </c>
      <c r="K41" s="82" t="inlineStr">
        <is>
          <t>B registra su archivo</t>
        </is>
      </c>
      <c r="L41" s="83" t="inlineStr">
        <is>
          <t>Aprobado</t>
        </is>
      </c>
      <c r="M41" s="82" t="inlineStr">
        <is>
          <t>—</t>
        </is>
      </c>
      <c r="N41" s="82" t="inlineStr">
        <is>
          <t>EV-CP-040</t>
        </is>
      </c>
      <c r="O41" s="82" t="inlineStr">
        <is>
          <t>QA</t>
        </is>
      </c>
      <c r="P41" s="82" t="inlineStr">
        <is>
          <t>30/10/2026</t>
        </is>
      </c>
      <c r="Q41" s="71" t="inlineStr">
        <is>
          <t>test_hu18_qa.py::TestPollingFTPPP190::test_cp_desactivar_uno_no_detiene_a_otro</t>
        </is>
      </c>
      <c r="R41" s="71" t="inlineStr">
        <is>
          <t>Local</t>
        </is>
      </c>
      <c r="S41" s="71" t="inlineStr">
        <is>
          <t>27ac90a (qa-elliot, incluye dccdb60)</t>
        </is>
      </c>
    </row>
    <row r="42" ht="47.5" customHeight="1" s="33">
      <c r="A42" s="71" t="inlineStr">
        <is>
          <t>CP-041</t>
        </is>
      </c>
      <c r="B42" s="71" t="inlineStr">
        <is>
          <t>HU-18</t>
        </is>
      </c>
      <c r="C42" s="71" t="inlineStr">
        <is>
          <t>RQ-HU18-06</t>
        </is>
      </c>
      <c r="D42" s="71" t="inlineStr">
        <is>
          <t>Funcional</t>
        </is>
      </c>
      <c r="E42" s="71" t="inlineStr">
        <is>
          <t>Media</t>
        </is>
      </c>
      <c r="F42" s="71" t="inlineStr">
        <is>
          <t>Técnico CENERIS (Edición en Dispositivos)</t>
        </is>
      </c>
      <c r="G42" s="71" t="inlineStr">
        <is>
          <t>Empresa con suscripción vigente; dispositivo Activo con su conexión FTP</t>
        </is>
      </c>
      <c r="H42" s="71" t="inlineStr">
        <is>
          <t>1. Desactivar. 2. Reactivar. 3. Ejecutar el sondeo.</t>
        </is>
      </c>
      <c r="I42" s="71" t="inlineStr">
        <is>
          <t>Dispositivo CR1000-01</t>
        </is>
      </c>
      <c r="J42" s="71" t="inlineStr">
        <is>
          <t>Al reactivar el sondeo se reanuda</t>
        </is>
      </c>
      <c r="K42" s="82" t="inlineStr">
        <is>
          <t>1 archivo registrado</t>
        </is>
      </c>
      <c r="L42" s="83" t="inlineStr">
        <is>
          <t>Aprobado</t>
        </is>
      </c>
      <c r="M42" s="82" t="inlineStr">
        <is>
          <t>—</t>
        </is>
      </c>
      <c r="N42" s="82" t="inlineStr">
        <is>
          <t>EV-CP-041</t>
        </is>
      </c>
      <c r="O42" s="82" t="inlineStr">
        <is>
          <t>QA</t>
        </is>
      </c>
      <c r="P42" s="82" t="inlineStr">
        <is>
          <t>30/10/2026</t>
        </is>
      </c>
      <c r="Q42" s="71" t="inlineStr">
        <is>
          <t>test_hu18_qa.py::TestPollingFTPPP190::test_cp_reactivar_reanuda_el_sondeo</t>
        </is>
      </c>
      <c r="R42" s="71" t="inlineStr">
        <is>
          <t>Local</t>
        </is>
      </c>
      <c r="S42" s="71" t="inlineStr">
        <is>
          <t>27ac90a (qa-elliot, incluye dccdb60)</t>
        </is>
      </c>
    </row>
    <row r="43" ht="47.5" customHeight="1" s="33">
      <c r="A43" s="71" t="inlineStr">
        <is>
          <t>CP-042</t>
        </is>
      </c>
      <c r="B43" s="71" t="inlineStr">
        <is>
          <t>HU-18</t>
        </is>
      </c>
      <c r="C43" s="71" t="inlineStr">
        <is>
          <t>RQ-HU18-04</t>
        </is>
      </c>
      <c r="D43" s="71" t="inlineStr">
        <is>
          <t>Funcional</t>
        </is>
      </c>
      <c r="E43" s="71" t="inlineStr">
        <is>
          <t>Alta</t>
        </is>
      </c>
      <c r="F43" s="71" t="inlineStr">
        <is>
          <t>Técnico CENERIS (Edición en Dispositivos)</t>
        </is>
      </c>
      <c r="G43" s="71" t="inlineStr">
        <is>
          <t>Empresa con suscripción vigente; dispositivo Activo con su conexión FTP; 3 lecturas de telemetría del dispositivo</t>
        </is>
      </c>
      <c r="H43" s="71" t="inlineStr">
        <is>
          <t>1. Desactivar. 2. Contar las filas de tlmtr del dispositivo.</t>
        </is>
      </c>
      <c r="I43" s="71" t="inlineStr">
        <is>
          <t>3 lecturas, parámetro QA-HU18</t>
        </is>
      </c>
      <c r="J43" s="71" t="inlineStr">
        <is>
          <t>Las 3 lecturas siguen almacenadas (PP-191)</t>
        </is>
      </c>
      <c r="K43" s="82" t="inlineStr">
        <is>
          <t>3 lecturas</t>
        </is>
      </c>
      <c r="L43" s="83" t="inlineStr">
        <is>
          <t>Aprobado</t>
        </is>
      </c>
      <c r="M43" s="82" t="inlineStr">
        <is>
          <t>—</t>
        </is>
      </c>
      <c r="N43" s="82" t="inlineStr">
        <is>
          <t>EV-CP-042</t>
        </is>
      </c>
      <c r="O43" s="82" t="inlineStr">
        <is>
          <t>QA</t>
        </is>
      </c>
      <c r="P43" s="82" t="inlineStr">
        <is>
          <t>30/10/2026</t>
        </is>
      </c>
      <c r="Q43" s="71" t="inlineStr">
        <is>
          <t>test_hu18_qa.py::TestHistorialPP191::test_cp_telemetria_previa_se_conserva</t>
        </is>
      </c>
      <c r="R43" s="71" t="inlineStr">
        <is>
          <t>Local</t>
        </is>
      </c>
      <c r="S43" s="71" t="inlineStr">
        <is>
          <t>27ac90a (qa-elliot, incluye dccdb60)</t>
        </is>
      </c>
    </row>
    <row r="44" ht="47.5" customHeight="1" s="33">
      <c r="A44" s="71" t="inlineStr">
        <is>
          <t>CP-043</t>
        </is>
      </c>
      <c r="B44" s="71" t="inlineStr">
        <is>
          <t>HU-18</t>
        </is>
      </c>
      <c r="C44" s="71" t="inlineStr">
        <is>
          <t>RQ-HU18-04</t>
        </is>
      </c>
      <c r="D44" s="71" t="inlineStr">
        <is>
          <t>Funcional</t>
        </is>
      </c>
      <c r="E44" s="71" t="inlineStr">
        <is>
          <t>Alta</t>
        </is>
      </c>
      <c r="F44" s="71" t="inlineStr">
        <is>
          <t>Técnico CENERIS (Edición en Dispositivos) con Lectura en Tableros</t>
        </is>
      </c>
      <c r="G44" s="71" t="inlineStr">
        <is>
          <t>Empresa con suscripción vigente; dispositivo Activo con su conexión FTP; 3 lecturas de telemetría</t>
        </is>
      </c>
      <c r="H44" s="71" t="inlineStr">
        <is>
          <t>1. Desactivar. 2. GET /mediciones?dispositivo_ids=..&amp;parametro_ids=..</t>
        </is>
      </c>
      <c r="I44" s="71" t="inlineStr">
        <is>
          <t>3 lecturas</t>
        </is>
      </c>
      <c r="J44" s="71" t="inlineStr">
        <is>
          <t>Los datos previos siguen consultables (PP-191)</t>
        </is>
      </c>
      <c r="K44" s="82" t="inlineStr">
        <is>
          <t>200 con 3 elementos</t>
        </is>
      </c>
      <c r="L44" s="83" t="inlineStr">
        <is>
          <t>Aprobado</t>
        </is>
      </c>
      <c r="M44" s="82" t="inlineStr">
        <is>
          <t>—</t>
        </is>
      </c>
      <c r="N44" s="82" t="inlineStr">
        <is>
          <t>EV-CP-043</t>
        </is>
      </c>
      <c r="O44" s="82" t="inlineStr">
        <is>
          <t>QA</t>
        </is>
      </c>
      <c r="P44" s="82" t="inlineStr">
        <is>
          <t>30/10/2026</t>
        </is>
      </c>
      <c r="Q44" s="71" t="inlineStr">
        <is>
          <t>test_hu18_qa.py::TestHistorialPP191::test_cp_telemetria_sigue_consultable_por_api</t>
        </is>
      </c>
      <c r="R44" s="71" t="inlineStr">
        <is>
          <t>Local</t>
        </is>
      </c>
      <c r="S44" s="71" t="inlineStr">
        <is>
          <t>27ac90a (qa-elliot, incluye dccdb60)</t>
        </is>
      </c>
    </row>
    <row r="45" ht="47.5" customHeight="1" s="33">
      <c r="A45" s="71" t="inlineStr">
        <is>
          <t>CP-044</t>
        </is>
      </c>
      <c r="B45" s="71" t="inlineStr">
        <is>
          <t>HU-18</t>
        </is>
      </c>
      <c r="C45" s="71" t="inlineStr">
        <is>
          <t>RQ-HU18-05</t>
        </is>
      </c>
      <c r="D45" s="71" t="inlineStr">
        <is>
          <t>Seguridad</t>
        </is>
      </c>
      <c r="E45" s="71" t="inlineStr">
        <is>
          <t>Alta</t>
        </is>
      </c>
      <c r="F45" s="71" t="inlineStr">
        <is>
          <t>Técnico CENERIS (Edición)</t>
        </is>
      </c>
      <c r="G45" s="71" t="inlineStr">
        <is>
          <t>Empresa con suscripción vigente; dispositivo Activo con su conexión FTP</t>
        </is>
      </c>
      <c r="H45" s="71" t="inlineStr">
        <is>
          <t>1. DELETE /dispositivos/{id}.</t>
        </is>
      </c>
      <c r="I45" s="71" t="inlineStr">
        <is>
          <t>Rol Técnico CENERIS</t>
        </is>
      </c>
      <c r="J45" s="71" t="inlineStr">
        <is>
          <t>200</t>
        </is>
      </c>
      <c r="K45" s="82" t="inlineStr">
        <is>
          <t>200</t>
        </is>
      </c>
      <c r="L45" s="83" t="inlineStr">
        <is>
          <t>Aprobado</t>
        </is>
      </c>
      <c r="M45" s="82" t="inlineStr">
        <is>
          <t>—</t>
        </is>
      </c>
      <c r="N45" s="82" t="inlineStr">
        <is>
          <t>EV-CP-044</t>
        </is>
      </c>
      <c r="O45" s="82" t="inlineStr">
        <is>
          <t>QA</t>
        </is>
      </c>
      <c r="P45" s="82" t="inlineStr">
        <is>
          <t>30/10/2026</t>
        </is>
      </c>
      <c r="Q45" s="71" t="inlineStr">
        <is>
          <t>test_hu18_qa.py::TestRolesYSeguridad::test_cp_roles_autorizados_pueden_desactivar[Técnico CENERIS]</t>
        </is>
      </c>
      <c r="R45" s="71" t="inlineStr">
        <is>
          <t>Local</t>
        </is>
      </c>
      <c r="S45" s="71" t="inlineStr">
        <is>
          <t>27ac90a (qa-elliot, incluye dccdb60)</t>
        </is>
      </c>
    </row>
    <row r="46" ht="47.5" customHeight="1" s="33">
      <c r="A46" s="71" t="inlineStr">
        <is>
          <t>CP-045</t>
        </is>
      </c>
      <c r="B46" s="71" t="inlineStr">
        <is>
          <t>HU-18</t>
        </is>
      </c>
      <c r="C46" s="71" t="inlineStr">
        <is>
          <t>RQ-HU18-05</t>
        </is>
      </c>
      <c r="D46" s="71" t="inlineStr">
        <is>
          <t>Seguridad</t>
        </is>
      </c>
      <c r="E46" s="71" t="inlineStr">
        <is>
          <t>Alta</t>
        </is>
      </c>
      <c r="F46" s="71" t="inlineStr">
        <is>
          <t>Administrador (Edición)</t>
        </is>
      </c>
      <c r="G46" s="71" t="inlineStr">
        <is>
          <t>Empresa con suscripción vigente; dispositivo Activo con su conexión FTP</t>
        </is>
      </c>
      <c r="H46" s="71" t="inlineStr">
        <is>
          <t>1. DELETE /dispositivos/{id}.</t>
        </is>
      </c>
      <c r="I46" s="71" t="inlineStr">
        <is>
          <t>Rol Administrador</t>
        </is>
      </c>
      <c r="J46" s="71" t="inlineStr">
        <is>
          <t>200</t>
        </is>
      </c>
      <c r="K46" s="82" t="inlineStr">
        <is>
          <t>200</t>
        </is>
      </c>
      <c r="L46" s="83" t="inlineStr">
        <is>
          <t>Aprobado</t>
        </is>
      </c>
      <c r="M46" s="82" t="inlineStr">
        <is>
          <t>—</t>
        </is>
      </c>
      <c r="N46" s="82" t="inlineStr">
        <is>
          <t>EV-CP-045</t>
        </is>
      </c>
      <c r="O46" s="82" t="inlineStr">
        <is>
          <t>QA</t>
        </is>
      </c>
      <c r="P46" s="82" t="inlineStr">
        <is>
          <t>30/10/2026</t>
        </is>
      </c>
      <c r="Q46" s="71" t="inlineStr">
        <is>
          <t>test_hu18_qa.py::TestRolesYSeguridad::test_cp_roles_autorizados_pueden_desactivar[Administrador]</t>
        </is>
      </c>
      <c r="R46" s="71" t="inlineStr">
        <is>
          <t>Local</t>
        </is>
      </c>
      <c r="S46" s="71" t="inlineStr">
        <is>
          <t>27ac90a (qa-elliot, incluye dccdb60)</t>
        </is>
      </c>
    </row>
    <row r="47" ht="47.5" customHeight="1" s="33">
      <c r="A47" s="71" t="inlineStr">
        <is>
          <t>CP-046</t>
        </is>
      </c>
      <c r="B47" s="71" t="inlineStr">
        <is>
          <t>HU-18</t>
        </is>
      </c>
      <c r="C47" s="71" t="inlineStr">
        <is>
          <t>RQ-HU18-05</t>
        </is>
      </c>
      <c r="D47" s="71" t="inlineStr">
        <is>
          <t>Seguridad</t>
        </is>
      </c>
      <c r="E47" s="71" t="inlineStr">
        <is>
          <t>Alta</t>
        </is>
      </c>
      <c r="F47" s="71" t="inlineStr">
        <is>
          <t>Técnico CENERIS (solo Lectura)</t>
        </is>
      </c>
      <c r="G47" s="71" t="inlineStr">
        <is>
          <t>Empresa con suscripción vigente; dispositivo Activo con su conexión FTP</t>
        </is>
      </c>
      <c r="H47" s="71" t="inlineStr">
        <is>
          <t>1. DELETE /dispositivos/{id}.</t>
        </is>
      </c>
      <c r="I47" s="71" t="inlineStr">
        <is>
          <t>Rol Técnico CENERIS con Lectura</t>
        </is>
      </c>
      <c r="J47" s="71" t="inlineStr">
        <is>
          <t>403 y el dispositivo sigue Activo</t>
        </is>
      </c>
      <c r="K47" s="82" t="inlineStr">
        <is>
          <t>403; sigue Activo</t>
        </is>
      </c>
      <c r="L47" s="83" t="inlineStr">
        <is>
          <t>Aprobado</t>
        </is>
      </c>
      <c r="M47" s="82" t="inlineStr">
        <is>
          <t>—</t>
        </is>
      </c>
      <c r="N47" s="82" t="inlineStr">
        <is>
          <t>EV-CP-046</t>
        </is>
      </c>
      <c r="O47" s="82" t="inlineStr">
        <is>
          <t>QA</t>
        </is>
      </c>
      <c r="P47" s="82" t="inlineStr">
        <is>
          <t>30/10/2026</t>
        </is>
      </c>
      <c r="Q47" s="71" t="inlineStr">
        <is>
          <t>test_hu18_qa.py::TestRolesYSeguridad::test_cp_solo_lectura_no_puede_desactivar[Técnico CENERIS]</t>
        </is>
      </c>
      <c r="R47" s="71" t="inlineStr">
        <is>
          <t>Local</t>
        </is>
      </c>
      <c r="S47" s="71" t="inlineStr">
        <is>
          <t>27ac90a (qa-elliot, incluye dccdb60)</t>
        </is>
      </c>
    </row>
    <row r="48" ht="47.5" customHeight="1" s="33">
      <c r="A48" s="71" t="inlineStr">
        <is>
          <t>CP-047</t>
        </is>
      </c>
      <c r="B48" s="71" t="inlineStr">
        <is>
          <t>HU-18</t>
        </is>
      </c>
      <c r="C48" s="71" t="inlineStr">
        <is>
          <t>RQ-HU18-05</t>
        </is>
      </c>
      <c r="D48" s="71" t="inlineStr">
        <is>
          <t>Seguridad</t>
        </is>
      </c>
      <c r="E48" s="71" t="inlineStr">
        <is>
          <t>Alta</t>
        </is>
      </c>
      <c r="F48" s="71" t="inlineStr">
        <is>
          <t>Administrador (solo Lectura)</t>
        </is>
      </c>
      <c r="G48" s="71" t="inlineStr">
        <is>
          <t>Empresa con suscripción vigente; dispositivo Activo con su conexión FTP</t>
        </is>
      </c>
      <c r="H48" s="71" t="inlineStr">
        <is>
          <t>1. DELETE /dispositivos/{id}.</t>
        </is>
      </c>
      <c r="I48" s="71" t="inlineStr">
        <is>
          <t>Rol Administrador con Lectura</t>
        </is>
      </c>
      <c r="J48" s="71" t="inlineStr">
        <is>
          <t>403 y el dispositivo sigue Activo</t>
        </is>
      </c>
      <c r="K48" s="82" t="inlineStr">
        <is>
          <t>403; sigue Activo</t>
        </is>
      </c>
      <c r="L48" s="83" t="inlineStr">
        <is>
          <t>Aprobado</t>
        </is>
      </c>
      <c r="M48" s="82" t="inlineStr">
        <is>
          <t>—</t>
        </is>
      </c>
      <c r="N48" s="82" t="inlineStr">
        <is>
          <t>EV-CP-047</t>
        </is>
      </c>
      <c r="O48" s="82" t="inlineStr">
        <is>
          <t>QA</t>
        </is>
      </c>
      <c r="P48" s="82" t="inlineStr">
        <is>
          <t>30/10/2026</t>
        </is>
      </c>
      <c r="Q48" s="71" t="inlineStr">
        <is>
          <t>test_hu18_qa.py::TestRolesYSeguridad::test_cp_solo_lectura_no_puede_desactivar[Administrador]</t>
        </is>
      </c>
      <c r="R48" s="71" t="inlineStr">
        <is>
          <t>Local</t>
        </is>
      </c>
      <c r="S48" s="71" t="inlineStr">
        <is>
          <t>27ac90a (qa-elliot, incluye dccdb60)</t>
        </is>
      </c>
    </row>
    <row r="49" ht="47.5" customHeight="1" s="33">
      <c r="A49" s="71" t="inlineStr">
        <is>
          <t>CP-048</t>
        </is>
      </c>
      <c r="B49" s="71" t="inlineStr">
        <is>
          <t>HU-18</t>
        </is>
      </c>
      <c r="C49" s="71" t="inlineStr">
        <is>
          <t>RQ-HU18-05</t>
        </is>
      </c>
      <c r="D49" s="71" t="inlineStr">
        <is>
          <t>Seguridad</t>
        </is>
      </c>
      <c r="E49" s="71" t="inlineStr">
        <is>
          <t>Alta</t>
        </is>
      </c>
      <c r="F49" s="71" t="inlineStr">
        <is>
          <t>Cliente Final</t>
        </is>
      </c>
      <c r="G49" s="71" t="inlineStr">
        <is>
          <t>Empresa con suscripción vigente; dispositivo Activo con su conexión FTP</t>
        </is>
      </c>
      <c r="H49" s="71" t="inlineStr">
        <is>
          <t>1. DELETE /dispositivos/{id}.</t>
        </is>
      </c>
      <c r="I49" s="71" t="inlineStr">
        <is>
          <t>Rol Cliente Final con Lectura</t>
        </is>
      </c>
      <c r="J49" s="71" t="inlineStr">
        <is>
          <t>403</t>
        </is>
      </c>
      <c r="K49" s="82" t="inlineStr">
        <is>
          <t>403</t>
        </is>
      </c>
      <c r="L49" s="83" t="inlineStr">
        <is>
          <t>Aprobado</t>
        </is>
      </c>
      <c r="M49" s="82" t="inlineStr">
        <is>
          <t>—</t>
        </is>
      </c>
      <c r="N49" s="82" t="inlineStr">
        <is>
          <t>EV-CP-048</t>
        </is>
      </c>
      <c r="O49" s="82" t="inlineStr">
        <is>
          <t>QA</t>
        </is>
      </c>
      <c r="P49" s="82" t="inlineStr">
        <is>
          <t>30/10/2026</t>
        </is>
      </c>
      <c r="Q49" s="71" t="inlineStr">
        <is>
          <t>test_hu18_qa.py::TestRolesYSeguridad::test_cp_cliente_final_no_puede_desactivar</t>
        </is>
      </c>
      <c r="R49" s="71" t="inlineStr">
        <is>
          <t>Local</t>
        </is>
      </c>
      <c r="S49" s="71" t="inlineStr">
        <is>
          <t>27ac90a (qa-elliot, incluye dccdb60)</t>
        </is>
      </c>
    </row>
    <row r="50" ht="47.5" customHeight="1" s="33">
      <c r="A50" s="71" t="inlineStr">
        <is>
          <t>CP-049</t>
        </is>
      </c>
      <c r="B50" s="71" t="inlineStr">
        <is>
          <t>HU-18</t>
        </is>
      </c>
      <c r="C50" s="71" t="inlineStr">
        <is>
          <t>RQ-HU18-05</t>
        </is>
      </c>
      <c r="D50" s="71" t="inlineStr">
        <is>
          <t>Seguridad</t>
        </is>
      </c>
      <c r="E50" s="71" t="inlineStr">
        <is>
          <t>Alta</t>
        </is>
      </c>
      <c r="F50" s="71" t="inlineStr">
        <is>
          <t>Sin sesión</t>
        </is>
      </c>
      <c r="G50" s="71" t="inlineStr">
        <is>
          <t>Dispositivo Activo</t>
        </is>
      </c>
      <c r="H50" s="71" t="inlineStr">
        <is>
          <t>1. DELETE /dispositivos/{id} sin token.</t>
        </is>
      </c>
      <c r="I50" s="71" t="inlineStr">
        <is>
          <t>Sin credenciales</t>
        </is>
      </c>
      <c r="J50" s="71" t="inlineStr">
        <is>
          <t>401</t>
        </is>
      </c>
      <c r="K50" s="82" t="inlineStr">
        <is>
          <t>401</t>
        </is>
      </c>
      <c r="L50" s="83" t="inlineStr">
        <is>
          <t>Aprobado</t>
        </is>
      </c>
      <c r="M50" s="82" t="inlineStr">
        <is>
          <t>—</t>
        </is>
      </c>
      <c r="N50" s="82" t="inlineStr">
        <is>
          <t>EV-CP-049</t>
        </is>
      </c>
      <c r="O50" s="82" t="inlineStr">
        <is>
          <t>QA</t>
        </is>
      </c>
      <c r="P50" s="82" t="inlineStr">
        <is>
          <t>30/10/2026</t>
        </is>
      </c>
      <c r="Q50" s="71" t="inlineStr">
        <is>
          <t>test_hu18_qa.py::TestRolesYSeguridad::test_cp_sin_sesion_401</t>
        </is>
      </c>
      <c r="R50" s="71" t="inlineStr">
        <is>
          <t>Local</t>
        </is>
      </c>
      <c r="S50" s="71" t="inlineStr">
        <is>
          <t>27ac90a (qa-elliot, incluye dccdb60)</t>
        </is>
      </c>
    </row>
    <row r="51" ht="47.5" customHeight="1" s="33">
      <c r="A51" s="71" t="inlineStr">
        <is>
          <t>CP-050</t>
        </is>
      </c>
      <c r="B51" s="71" t="inlineStr">
        <is>
          <t>HU-18</t>
        </is>
      </c>
      <c r="C51" s="71" t="inlineStr">
        <is>
          <t>RQ-HU18-05</t>
        </is>
      </c>
      <c r="D51" s="71" t="inlineStr">
        <is>
          <t>Seguridad</t>
        </is>
      </c>
      <c r="E51" s="71" t="inlineStr">
        <is>
          <t>Alta</t>
        </is>
      </c>
      <c r="F51" s="71" t="inlineStr">
        <is>
          <t>Técnico CENERIS (Edición en Dispositivos)</t>
        </is>
      </c>
      <c r="G51" s="71" t="inlineStr">
        <is>
          <t>Dispositivo de OTRA sede</t>
        </is>
      </c>
      <c r="H51" s="71" t="inlineStr">
        <is>
          <t>1. DELETE /dispositivos/{id} de otra sede.</t>
        </is>
      </c>
      <c r="I51" s="71" t="inlineStr">
        <is>
          <t>Sede ajena</t>
        </is>
      </c>
      <c r="J51" s="71" t="inlineStr">
        <is>
          <t>403 o 404; sin cambios</t>
        </is>
      </c>
      <c r="K51" s="82" t="inlineStr">
        <is>
          <t>Rechazado (403 o 404)</t>
        </is>
      </c>
      <c r="L51" s="83" t="inlineStr">
        <is>
          <t>Aprobado</t>
        </is>
      </c>
      <c r="M51" s="82" t="inlineStr">
        <is>
          <t>—</t>
        </is>
      </c>
      <c r="N51" s="82" t="inlineStr">
        <is>
          <t>EV-CP-050</t>
        </is>
      </c>
      <c r="O51" s="82" t="inlineStr">
        <is>
          <t>QA</t>
        </is>
      </c>
      <c r="P51" s="82" t="inlineStr">
        <is>
          <t>30/10/2026</t>
        </is>
      </c>
      <c r="Q51" s="71" t="inlineStr">
        <is>
          <t>test_hu18_qa.py::TestRolesYSeguridad::test_cp_no_puede_desactivar_dispositivo_de_otra_sede</t>
        </is>
      </c>
      <c r="R51" s="71" t="inlineStr">
        <is>
          <t>Local</t>
        </is>
      </c>
      <c r="S51" s="71" t="inlineStr">
        <is>
          <t>27ac90a (qa-elliot, incluye dccdb60)</t>
        </is>
      </c>
    </row>
    <row r="52" ht="47.5" customHeight="1" s="33">
      <c r="A52" s="71" t="inlineStr">
        <is>
          <t>CP-051</t>
        </is>
      </c>
      <c r="B52" s="71" t="inlineStr">
        <is>
          <t>HU-18</t>
        </is>
      </c>
      <c r="C52" s="71" t="inlineStr">
        <is>
          <t>RQ-HU18-02</t>
        </is>
      </c>
      <c r="D52" s="71" t="inlineStr">
        <is>
          <t>E2E</t>
        </is>
      </c>
      <c r="E52" s="71" t="inlineStr">
        <is>
          <t>Alta</t>
        </is>
      </c>
      <c r="F52" s="71" t="inlineStr">
        <is>
          <t>Técnico CENERIS (Edición en Dispositivos)</t>
        </is>
      </c>
      <c r="G52" s="71" t="inlineStr">
        <is>
          <t>Servidor FTP local real (pyftpdlib); dispositivo Activo con su conexión</t>
        </is>
      </c>
      <c r="H52" s="71" t="inlineStr">
        <is>
          <t>1. Sondeo real: detecta H_antes.dat. 2. Desactivar por API. 3. Subir H_despues.dat y sondear de nuevo.</t>
        </is>
      </c>
      <c r="I52" s="71" t="inlineStr">
        <is>
          <t>FTP local 127.0.0.1, 2 archivos .dat</t>
        </is>
      </c>
      <c r="J52" s="71" t="inlineStr">
        <is>
          <t>H_despues.dat no se registra: el polling de ese equipo se detuvo (PP-190)</t>
        </is>
      </c>
      <c r="K52" s="82" t="inlineStr">
        <is>
          <t>H_despues.dat no se registró: el polling del equipo se detuvo (con FTP real)</t>
        </is>
      </c>
      <c r="L52" s="83" t="inlineStr">
        <is>
          <t>Aprobado</t>
        </is>
      </c>
      <c r="M52" s="82" t="inlineStr">
        <is>
          <t>DEF-04 (cerrado)</t>
        </is>
      </c>
      <c r="N52" s="82" t="inlineStr">
        <is>
          <t>EV-CP-051</t>
        </is>
      </c>
      <c r="O52" s="82" t="inlineStr">
        <is>
          <t>QA</t>
        </is>
      </c>
      <c r="P52" s="82" t="inlineStr">
        <is>
          <t>30/10/2026</t>
        </is>
      </c>
      <c r="Q52" s="71" t="inlineStr">
        <is>
          <t>test_integracion_ftp_real.py::test_cp_ftp_real_desactivar_detiene_el_polling</t>
        </is>
      </c>
      <c r="R52" s="71" t="inlineStr">
        <is>
          <t>Local</t>
        </is>
      </c>
      <c r="S52" s="71" t="inlineStr">
        <is>
          <t>27ac90a (qa-elliot, incluye dccdb60)</t>
        </is>
      </c>
    </row>
    <row r="53" ht="47.5" customHeight="1" s="33">
      <c r="A53" s="71" t="inlineStr">
        <is>
          <t>CP-052</t>
        </is>
      </c>
      <c r="B53" s="71" t="inlineStr">
        <is>
          <t>HU-18</t>
        </is>
      </c>
      <c r="C53" s="71" t="inlineStr">
        <is>
          <t>RQ-HU18-01</t>
        </is>
      </c>
      <c r="D53" s="71" t="inlineStr">
        <is>
          <t>Funcional</t>
        </is>
      </c>
      <c r="E53" s="71" t="inlineStr">
        <is>
          <t>Alta</t>
        </is>
      </c>
      <c r="F53" s="71" t="inlineStr">
        <is>
          <t>Técnico CENERIS (tecnico@pangea-dev.com)</t>
        </is>
      </c>
      <c r="G53" s="71" t="inlineStr">
        <is>
          <t>App local; listado de dispositivos con DEMO Sonda EU Activo</t>
        </is>
      </c>
      <c r="H53" s="71" t="inlineStr">
        <is>
          <t>1. Entrar al entorno de la empresa. 2. Dispositivos. 3. Pulsar Desactivar en la fila.</t>
        </is>
      </c>
      <c r="I53" s="71" t="inlineStr">
        <is>
          <t>DEMO Sonda EU (decimal coma)</t>
        </is>
      </c>
      <c r="J53" s="71" t="inlineStr">
        <is>
          <t>Aparece el modal de confirmación con el aviso de que se detiene la ingesta (CA1)</t>
        </is>
      </c>
      <c r="K53" s="82" t="inlineStr">
        <is>
          <t>Modal «Desactivar dispositivo…» con botón Cancelar</t>
        </is>
      </c>
      <c r="L53" s="83" t="inlineStr">
        <is>
          <t>Aprobado</t>
        </is>
      </c>
      <c r="M53" s="82" t="inlineStr">
        <is>
          <t>—</t>
        </is>
      </c>
      <c r="N53" s="82" t="inlineStr">
        <is>
          <t>EV-CP-052</t>
        </is>
      </c>
      <c r="O53" s="82" t="inlineStr">
        <is>
          <t>QA</t>
        </is>
      </c>
      <c r="P53" s="82" t="inlineStr">
        <is>
          <t>28/10/2026</t>
        </is>
      </c>
      <c r="Q53" s="71" t="inlineStr">
        <is>
          <t>hu18.spec.mjs · CP-UI-01 CA1: Desactivar sobre un dispositivo Activo pide confirmación</t>
        </is>
      </c>
      <c r="R53" s="71" t="inlineStr">
        <is>
          <t>Local</t>
        </is>
      </c>
      <c r="S53" s="71" t="inlineStr">
        <is>
          <t>61fdd71 (qa-elliot)</t>
        </is>
      </c>
    </row>
    <row r="54" ht="47.5" customHeight="1" s="33">
      <c r="A54" s="71" t="inlineStr">
        <is>
          <t>CP-053</t>
        </is>
      </c>
      <c r="B54" s="71" t="inlineStr">
        <is>
          <t>HU-18</t>
        </is>
      </c>
      <c r="C54" s="71" t="inlineStr">
        <is>
          <t>RQ-HU18-01</t>
        </is>
      </c>
      <c r="D54" s="71" t="inlineStr">
        <is>
          <t>Negativa</t>
        </is>
      </c>
      <c r="E54" s="71" t="inlineStr">
        <is>
          <t>Media</t>
        </is>
      </c>
      <c r="F54" s="71" t="inlineStr">
        <is>
          <t>Técnico CENERIS</t>
        </is>
      </c>
      <c r="G54" s="71" t="inlineStr">
        <is>
          <t>Modal de confirmación abierto</t>
        </is>
      </c>
      <c r="H54" s="71" t="inlineStr">
        <is>
          <t>1. Pulsar Cancelar.</t>
        </is>
      </c>
      <c r="I54" s="71" t="inlineStr">
        <is>
          <t>DEMO Sonda EU</t>
        </is>
      </c>
      <c r="J54" s="71" t="inlineStr">
        <is>
          <t>El modal se cierra y el dispositivo sigue Activo</t>
        </is>
      </c>
      <c r="K54" s="82" t="inlineStr">
        <is>
          <t>Coincide</t>
        </is>
      </c>
      <c r="L54" s="83" t="inlineStr">
        <is>
          <t>Aprobado</t>
        </is>
      </c>
      <c r="M54" s="82" t="inlineStr">
        <is>
          <t>—</t>
        </is>
      </c>
      <c r="N54" s="82" t="inlineStr">
        <is>
          <t>EV-CP-053</t>
        </is>
      </c>
      <c r="O54" s="82" t="inlineStr">
        <is>
          <t>QA</t>
        </is>
      </c>
      <c r="P54" s="82" t="inlineStr">
        <is>
          <t>28/10/2026</t>
        </is>
      </c>
      <c r="Q54" s="71" t="inlineStr">
        <is>
          <t>hu18.spec.mjs · CP-UI-02 Cancelar no cambia el estado</t>
        </is>
      </c>
      <c r="R54" s="71" t="inlineStr">
        <is>
          <t>Local</t>
        </is>
      </c>
      <c r="S54" s="71" t="inlineStr">
        <is>
          <t>61fdd71 (qa-elliot)</t>
        </is>
      </c>
    </row>
    <row r="55" ht="47.5" customHeight="1" s="33">
      <c r="A55" s="71" t="inlineStr">
        <is>
          <t>CP-054</t>
        </is>
      </c>
      <c r="B55" s="71" t="inlineStr">
        <is>
          <t>HU-18</t>
        </is>
      </c>
      <c r="C55" s="71" t="inlineStr">
        <is>
          <t>RQ-HU18-02</t>
        </is>
      </c>
      <c r="D55" s="71" t="inlineStr">
        <is>
          <t>E2E</t>
        </is>
      </c>
      <c r="E55" s="71" t="inlineStr">
        <is>
          <t>Alta</t>
        </is>
      </c>
      <c r="F55" s="71" t="inlineStr">
        <is>
          <t>Técnico CENERIS</t>
        </is>
      </c>
      <c r="G55" s="71" t="inlineStr">
        <is>
          <t>Dispositivo Activo; modal de confirmación abierto</t>
        </is>
      </c>
      <c r="H55" s="71" t="inlineStr">
        <is>
          <t>1. Esperar la cuenta regresiva (3 s). 2. Confirmar.</t>
        </is>
      </c>
      <c r="I55" s="71" t="inlineStr">
        <is>
          <t>DEMO Sonda EU</t>
        </is>
      </c>
      <c r="J55" s="71" t="inlineStr">
        <is>
          <t>Mensaje «Dispositivo desactivado correctamente», fila Inactivo con la opción Reactivar y sin Desactivar (CA2 y CA3)</t>
        </is>
      </c>
      <c r="K55" s="82" t="inlineStr">
        <is>
          <t>Coincide (el botón se llama «Desactivar», ver OBS-10)</t>
        </is>
      </c>
      <c r="L55" s="83" t="inlineStr">
        <is>
          <t>Aprobado</t>
        </is>
      </c>
      <c r="M55" s="82" t="inlineStr">
        <is>
          <t>—</t>
        </is>
      </c>
      <c r="N55" s="82" t="inlineStr">
        <is>
          <t>EV-CP-054</t>
        </is>
      </c>
      <c r="O55" s="82" t="inlineStr">
        <is>
          <t>QA</t>
        </is>
      </c>
      <c r="P55" s="82" t="inlineStr">
        <is>
          <t>28/10/2026</t>
        </is>
      </c>
      <c r="Q55" s="71" t="inlineStr">
        <is>
          <t>hu18.spec.mjs · CP-UI-03 CA2/CA3: confirmar desactiva, muestra el mensaje y ofrece Reactivar</t>
        </is>
      </c>
      <c r="R55" s="71" t="inlineStr">
        <is>
          <t>Local</t>
        </is>
      </c>
      <c r="S55" s="71" t="inlineStr">
        <is>
          <t>61fdd71 (qa-elliot)</t>
        </is>
      </c>
    </row>
    <row r="56" ht="47.5" customHeight="1" s="33">
      <c r="A56" s="71" t="inlineStr">
        <is>
          <t>CP-055</t>
        </is>
      </c>
      <c r="B56" s="71" t="inlineStr">
        <is>
          <t>HU-18</t>
        </is>
      </c>
      <c r="C56" s="71" t="inlineStr">
        <is>
          <t>RQ-HU18-03</t>
        </is>
      </c>
      <c r="D56" s="71" t="inlineStr">
        <is>
          <t>Funcional</t>
        </is>
      </c>
      <c r="E56" s="71" t="inlineStr">
        <is>
          <t>Media</t>
        </is>
      </c>
      <c r="F56" s="71" t="inlineStr">
        <is>
          <t>Técnico CENERIS</t>
        </is>
      </c>
      <c r="G56" s="71" t="inlineStr">
        <is>
          <t>Dispositivo desactivado</t>
        </is>
      </c>
      <c r="H56" s="71" t="inlineStr">
        <is>
          <t>1. Recargar la página. 2. Volver al listado.</t>
        </is>
      </c>
      <c r="I56" s="71" t="inlineStr">
        <is>
          <t>DEMO Sonda EU</t>
        </is>
      </c>
      <c r="J56" s="71" t="inlineStr">
        <is>
          <t>Sigue Inactivo con la opción Reactivar</t>
        </is>
      </c>
      <c r="K56" s="82" t="inlineStr">
        <is>
          <t>Coincide</t>
        </is>
      </c>
      <c r="L56" s="83" t="inlineStr">
        <is>
          <t>Aprobado</t>
        </is>
      </c>
      <c r="M56" s="82" t="inlineStr">
        <is>
          <t>—</t>
        </is>
      </c>
      <c r="N56" s="82" t="inlineStr">
        <is>
          <t>EV-CP-055</t>
        </is>
      </c>
      <c r="O56" s="82" t="inlineStr">
        <is>
          <t>QA</t>
        </is>
      </c>
      <c r="P56" s="82" t="inlineStr">
        <is>
          <t>28/10/2026</t>
        </is>
      </c>
      <c r="Q56" s="71" t="inlineStr">
        <is>
          <t>hu18.spec.mjs · CP-UI-04 el estado Inactivo persiste al recargar</t>
        </is>
      </c>
      <c r="R56" s="71" t="inlineStr">
        <is>
          <t>Local</t>
        </is>
      </c>
      <c r="S56" s="71" t="inlineStr">
        <is>
          <t>61fdd71 (qa-elliot)</t>
        </is>
      </c>
    </row>
    <row r="57" ht="47.5" customHeight="1" s="33">
      <c r="A57" s="71" t="inlineStr">
        <is>
          <t>CP-056</t>
        </is>
      </c>
      <c r="B57" s="71" t="inlineStr">
        <is>
          <t>HU-18</t>
        </is>
      </c>
      <c r="C57" s="71" t="inlineStr">
        <is>
          <t>RQ-HU18-06</t>
        </is>
      </c>
      <c r="D57" s="71" t="inlineStr">
        <is>
          <t>E2E</t>
        </is>
      </c>
      <c r="E57" s="71" t="inlineStr">
        <is>
          <t>Media</t>
        </is>
      </c>
      <c r="F57" s="71" t="inlineStr">
        <is>
          <t>Técnico CENERIS</t>
        </is>
      </c>
      <c r="G57" s="71" t="inlineStr">
        <is>
          <t>Dispositivo Inactivo</t>
        </is>
      </c>
      <c r="H57" s="71" t="inlineStr">
        <is>
          <t>1. Pulsar Reactivar. 2. Confirmar.</t>
        </is>
      </c>
      <c r="I57" s="71" t="inlineStr">
        <is>
          <t>DEMO Sonda EU</t>
        </is>
      </c>
      <c r="J57" s="71" t="inlineStr">
        <is>
          <t>Mensaje «Dispositivo reactivado correctamente» y fila Activo con Desactivar</t>
        </is>
      </c>
      <c r="K57" s="82" t="inlineStr">
        <is>
          <t>Coincide</t>
        </is>
      </c>
      <c r="L57" s="83" t="inlineStr">
        <is>
          <t>Aprobado</t>
        </is>
      </c>
      <c r="M57" s="82" t="inlineStr">
        <is>
          <t>—</t>
        </is>
      </c>
      <c r="N57" s="82" t="inlineStr">
        <is>
          <t>EV-CP-056</t>
        </is>
      </c>
      <c r="O57" s="82" t="inlineStr">
        <is>
          <t>QA</t>
        </is>
      </c>
      <c r="P57" s="82" t="inlineStr">
        <is>
          <t>28/10/2026</t>
        </is>
      </c>
      <c r="Q57" s="71" t="inlineStr">
        <is>
          <t>hu18.spec.mjs · CP-UI-05 CA3: Reactivar devuelve el dispositivo a Activo</t>
        </is>
      </c>
      <c r="R57" s="71" t="inlineStr">
        <is>
          <t>Local</t>
        </is>
      </c>
      <c r="S57" s="71" t="inlineStr">
        <is>
          <t>61fdd71 (qa-elliot)</t>
        </is>
      </c>
    </row>
    <row r="58" ht="47.5" customHeight="1" s="33">
      <c r="A58" s="71" t="inlineStr">
        <is>
          <t>CP-057</t>
        </is>
      </c>
      <c r="B58" s="71" t="inlineStr">
        <is>
          <t>HU-18</t>
        </is>
      </c>
      <c r="C58" s="71" t="inlineStr">
        <is>
          <t>RQ-HU18-05</t>
        </is>
      </c>
      <c r="D58" s="71" t="inlineStr">
        <is>
          <t>Seguridad</t>
        </is>
      </c>
      <c r="E58" s="71" t="inlineStr">
        <is>
          <t>Alta</t>
        </is>
      </c>
      <c r="F58" s="71" t="inlineStr">
        <is>
          <t>Administrador (admin@pangea-dev.com)</t>
        </is>
      </c>
      <c r="G58" s="71" t="inlineStr">
        <is>
          <t>Dispositivo Activo en el listado</t>
        </is>
      </c>
      <c r="H58" s="71" t="inlineStr">
        <is>
          <t>1. Entrar al entorno de la empresa. 2. Dispositivos.</t>
        </is>
      </c>
      <c r="I58" s="71" t="inlineStr">
        <is>
          <t>DEMO Sonda EU</t>
        </is>
      </c>
      <c r="J58" s="71" t="inlineStr">
        <is>
          <t>El Administrador ve la acción Desactivar</t>
        </is>
      </c>
      <c r="K58" s="82" t="inlineStr">
        <is>
          <t>Coincide</t>
        </is>
      </c>
      <c r="L58" s="83" t="inlineStr">
        <is>
          <t>Aprobado</t>
        </is>
      </c>
      <c r="M58" s="82" t="inlineStr">
        <is>
          <t>—</t>
        </is>
      </c>
      <c r="N58" s="82" t="inlineStr">
        <is>
          <t>EV-CP-057</t>
        </is>
      </c>
      <c r="O58" s="82" t="inlineStr">
        <is>
          <t>QA</t>
        </is>
      </c>
      <c r="P58" s="82" t="inlineStr">
        <is>
          <t>28/10/2026</t>
        </is>
      </c>
      <c r="Q58" s="71" t="inlineStr">
        <is>
          <t>hu18.spec.mjs · CP-UI-06 Administrador ve la acción Desactivar</t>
        </is>
      </c>
      <c r="R58" s="71" t="inlineStr">
        <is>
          <t>Local</t>
        </is>
      </c>
      <c r="S58" s="71" t="inlineStr">
        <is>
          <t>61fdd71 (qa-elliot)</t>
        </is>
      </c>
    </row>
    <row r="59" ht="47.5" customHeight="1" s="33">
      <c r="A59" s="71" t="inlineStr">
        <is>
          <t>CP-058</t>
        </is>
      </c>
      <c r="B59" s="71" t="inlineStr">
        <is>
          <t>HU-18</t>
        </is>
      </c>
      <c r="C59" s="71" t="inlineStr">
        <is>
          <t>RQ-HU18-05</t>
        </is>
      </c>
      <c r="D59" s="71" t="inlineStr">
        <is>
          <t>Seguridad</t>
        </is>
      </c>
      <c r="E59" s="71" t="inlineStr">
        <is>
          <t>Alta</t>
        </is>
      </c>
      <c r="F59" s="71" t="inlineStr">
        <is>
          <t>Cliente Final (cliente@pangea-dev.com)</t>
        </is>
      </c>
      <c r="G59" s="71" t="inlineStr">
        <is>
          <t>Listado de dispositivos</t>
        </is>
      </c>
      <c r="H59" s="71" t="inlineStr">
        <is>
          <t>1. Abrir /dispositivos.</t>
        </is>
      </c>
      <c r="I59" s="71" t="inlineStr">
        <is>
          <t>Cuenta Cliente Final</t>
        </is>
      </c>
      <c r="J59" s="71" t="inlineStr">
        <is>
          <t>No ve Desactivar ni Reactivar</t>
        </is>
      </c>
      <c r="K59" s="82" t="inlineStr">
        <is>
          <t>Sin ninguno de los dos botones</t>
        </is>
      </c>
      <c r="L59" s="83" t="inlineStr">
        <is>
          <t>Aprobado</t>
        </is>
      </c>
      <c r="M59" s="82" t="inlineStr">
        <is>
          <t>—</t>
        </is>
      </c>
      <c r="N59" s="82" t="inlineStr">
        <is>
          <t>EV-CP-058</t>
        </is>
      </c>
      <c r="O59" s="82" t="inlineStr">
        <is>
          <t>QA</t>
        </is>
      </c>
      <c r="P59" s="82" t="inlineStr">
        <is>
          <t>28/10/2026</t>
        </is>
      </c>
      <c r="Q59" s="71" t="inlineStr">
        <is>
          <t>hu18.spec.mjs · CP-UI-07 Cliente Final no ve Desactivar ni Reactivar</t>
        </is>
      </c>
      <c r="R59" s="71" t="inlineStr">
        <is>
          <t>Local</t>
        </is>
      </c>
      <c r="S59" s="71" t="inlineStr">
        <is>
          <t>61fdd71 (qa-elliot)</t>
        </is>
      </c>
    </row>
    <row r="60" ht="47.5" customHeight="1" s="33">
      <c r="A60" s="71" t="inlineStr">
        <is>
          <t>CP-059</t>
        </is>
      </c>
      <c r="B60" s="71" t="inlineStr">
        <is>
          <t>HU-26</t>
        </is>
      </c>
      <c r="C60" s="71" t="inlineStr">
        <is>
          <t>RQ-HU26-01</t>
        </is>
      </c>
      <c r="D60" s="71" t="inlineStr">
        <is>
          <t>Funcional</t>
        </is>
      </c>
      <c r="E60" s="71" t="inlineStr">
        <is>
          <t>Alta</t>
        </is>
      </c>
      <c r="F60" s="71" t="inlineStr">
        <is>
          <t>Cliente Final</t>
        </is>
      </c>
      <c r="G60" s="71" t="inlineStr">
        <is>
          <t>Panel propio, 3 ubicaciones asignadas (HU 21) y 1 sin asignar</t>
        </is>
      </c>
      <c r="H60" s="71" t="inlineStr">
        <is>
          <t>1. GET /paneles/{id}/ubicaciones/disponibles.</t>
        </is>
      </c>
      <c r="I60" s="71" t="inlineStr">
        <is>
          <t>3 asignadas + 1 no asignada</t>
        </is>
      </c>
      <c r="J60" s="71" t="inlineStr">
        <is>
          <t>Devuelve solo las 3 asignadas; la no asignada no aparece</t>
        </is>
      </c>
      <c r="K60" s="82" t="inlineStr">
        <is>
          <t>Solo las 3 asignadas</t>
        </is>
      </c>
      <c r="L60" s="83" t="inlineStr">
        <is>
          <t>Aprobado</t>
        </is>
      </c>
      <c r="M60" s="82" t="inlineStr">
        <is>
          <t>—</t>
        </is>
      </c>
      <c r="N60" s="82" t="inlineStr">
        <is>
          <t>EV-CP-059</t>
        </is>
      </c>
      <c r="O60" s="82" t="inlineStr">
        <is>
          <t>QA</t>
        </is>
      </c>
      <c r="P60" s="82" t="inlineStr">
        <is>
          <t>30/10/2026</t>
        </is>
      </c>
      <c r="Q60" s="71" t="inlineStr">
        <is>
          <t>qa/03_Evidencias/HU26/test_hu26_qa.py::test_ca1_listado_muestra_solo_ubicaciones_asignadas</t>
        </is>
      </c>
      <c r="R60" s="71" t="inlineStr">
        <is>
          <t>Local</t>
        </is>
      </c>
      <c r="S60" s="71" t="inlineStr">
        <is>
          <t>c4fadff (qa-elliot)</t>
        </is>
      </c>
    </row>
    <row r="61" ht="47.5" customHeight="1" s="33">
      <c r="A61" s="71" t="inlineStr">
        <is>
          <t>CP-060</t>
        </is>
      </c>
      <c r="B61" s="71" t="inlineStr">
        <is>
          <t>HU-26</t>
        </is>
      </c>
      <c r="C61" s="71" t="inlineStr">
        <is>
          <t>RQ-HU26-01</t>
        </is>
      </c>
      <c r="D61" s="71" t="inlineStr">
        <is>
          <t>Funcional</t>
        </is>
      </c>
      <c r="E61" s="71" t="inlineStr">
        <is>
          <t>Media</t>
        </is>
      </c>
      <c r="F61" s="71" t="inlineStr">
        <is>
          <t>Cliente Final</t>
        </is>
      </c>
      <c r="G61" s="71" t="inlineStr">
        <is>
          <t>Igual que CP-059</t>
        </is>
      </c>
      <c r="H61" s="71" t="inlineStr">
        <is>
          <t>1. GET disponibles.</t>
        </is>
      </c>
      <c r="I61" s="71" t="inlineStr">
        <is>
          <t>3 ubicaciones QA Estación 0..2</t>
        </is>
      </c>
      <c r="J61" s="71" t="inlineStr">
        <is>
          <t>Cada ítem trae id y nombre, ordenados por nombre</t>
        </is>
      </c>
      <c r="K61" s="82" t="inlineStr">
        <is>
          <t>Id y nombre, orden alfabético</t>
        </is>
      </c>
      <c r="L61" s="83" t="inlineStr">
        <is>
          <t>Aprobado</t>
        </is>
      </c>
      <c r="M61" s="82" t="inlineStr">
        <is>
          <t>—</t>
        </is>
      </c>
      <c r="N61" s="82" t="inlineStr">
        <is>
          <t>EV-CP-060</t>
        </is>
      </c>
      <c r="O61" s="82" t="inlineStr">
        <is>
          <t>QA</t>
        </is>
      </c>
      <c r="P61" s="82" t="inlineStr">
        <is>
          <t>30/10/2026</t>
        </is>
      </c>
      <c r="Q61" s="71" t="inlineStr">
        <is>
          <t>qa/03_Evidencias/HU26/test_hu26_qa.py::test_ca1_listado_trae_nombre_y_va_ordenado</t>
        </is>
      </c>
      <c r="R61" s="71" t="inlineStr">
        <is>
          <t>Local</t>
        </is>
      </c>
      <c r="S61" s="71" t="inlineStr">
        <is>
          <t>c4fadff (qa-elliot)</t>
        </is>
      </c>
    </row>
    <row r="62" ht="47.5" customHeight="1" s="33">
      <c r="A62" s="71" t="inlineStr">
        <is>
          <t>CP-061</t>
        </is>
      </c>
      <c r="B62" s="71" t="inlineStr">
        <is>
          <t>HU-26</t>
        </is>
      </c>
      <c r="C62" s="71" t="inlineStr">
        <is>
          <t>RQ-HU26-01</t>
        </is>
      </c>
      <c r="D62" s="71" t="inlineStr">
        <is>
          <t>Límite</t>
        </is>
      </c>
      <c r="E62" s="71" t="inlineStr">
        <is>
          <t>Media</t>
        </is>
      </c>
      <c r="F62" s="71" t="inlineStr">
        <is>
          <t>Cliente Final</t>
        </is>
      </c>
      <c r="G62" s="71" t="inlineStr">
        <is>
          <t>Usuario con Edición en Tableros y ninguna ubicación asignada</t>
        </is>
      </c>
      <c r="H62" s="71" t="inlineStr">
        <is>
          <t>1. GET disponibles.</t>
        </is>
      </c>
      <c r="I62" s="71" t="inlineStr">
        <is>
          <t>Una ubicación existente sin permiso</t>
        </is>
      </c>
      <c r="J62" s="71" t="inlineStr">
        <is>
          <t>Lista vacía con 200</t>
        </is>
      </c>
      <c r="K62" s="82" t="inlineStr">
        <is>
          <t>200 y lista vacía</t>
        </is>
      </c>
      <c r="L62" s="83" t="inlineStr">
        <is>
          <t>Aprobado</t>
        </is>
      </c>
      <c r="M62" s="82" t="inlineStr">
        <is>
          <t>—</t>
        </is>
      </c>
      <c r="N62" s="82" t="inlineStr">
        <is>
          <t>EV-CP-061</t>
        </is>
      </c>
      <c r="O62" s="82" t="inlineStr">
        <is>
          <t>QA</t>
        </is>
      </c>
      <c r="P62" s="82" t="inlineStr">
        <is>
          <t>30/10/2026</t>
        </is>
      </c>
      <c r="Q62" s="71" t="inlineStr">
        <is>
          <t>qa/03_Evidencias/HU26/test_hu26_qa.py::test_ca1_usuario_sin_ubicaciones_asignadas_recibe_lista_vacia</t>
        </is>
      </c>
      <c r="R62" s="71" t="inlineStr">
        <is>
          <t>Local</t>
        </is>
      </c>
      <c r="S62" s="71" t="inlineStr">
        <is>
          <t>c4fadff (qa-elliot)</t>
        </is>
      </c>
    </row>
    <row r="63" ht="47.5" customHeight="1" s="33">
      <c r="A63" s="71" t="inlineStr">
        <is>
          <t>CP-062</t>
        </is>
      </c>
      <c r="B63" s="71" t="inlineStr">
        <is>
          <t>HU-26</t>
        </is>
      </c>
      <c r="C63" s="71" t="inlineStr">
        <is>
          <t>RQ-HU26-02</t>
        </is>
      </c>
      <c r="D63" s="71" t="inlineStr">
        <is>
          <t>Funcional</t>
        </is>
      </c>
      <c r="E63" s="71" t="inlineStr">
        <is>
          <t>Alta</t>
        </is>
      </c>
      <c r="F63" s="71" t="inlineStr">
        <is>
          <t>Cliente Final</t>
        </is>
      </c>
      <c r="G63" s="71" t="inlineStr">
        <is>
          <t>Panel propio vacío</t>
        </is>
      </c>
      <c r="H63" s="71" t="inlineStr">
        <is>
          <t>1. POST /ubicaciones/lote con 2 ids asignados. 2. GET /contenido.</t>
        </is>
      </c>
      <c r="I63" s="71" t="inlineStr">
        <is>
          <t>2 ubicaciones asignadas</t>
        </is>
      </c>
      <c r="J63" s="71" t="inlineStr">
        <is>
          <t>201, MSG «Ubicaciones añadidas correctamente» y las 2 asociadas al panel</t>
        </is>
      </c>
      <c r="K63" s="82" t="inlineStr">
        <is>
          <t>201, mensaje exacto, 2 asociadas</t>
        </is>
      </c>
      <c r="L63" s="83" t="inlineStr">
        <is>
          <t>Aprobado</t>
        </is>
      </c>
      <c r="M63" s="82" t="inlineStr">
        <is>
          <t>—</t>
        </is>
      </c>
      <c r="N63" s="82" t="inlineStr">
        <is>
          <t>EV-CP-062</t>
        </is>
      </c>
      <c r="O63" s="82" t="inlineStr">
        <is>
          <t>QA</t>
        </is>
      </c>
      <c r="P63" s="82" t="inlineStr">
        <is>
          <t>30/10/2026</t>
        </is>
      </c>
      <c r="Q63" s="71" t="inlineStr">
        <is>
          <t>qa/03_Evidencias/HU26/test_hu26_qa.py::test_ca2_agregar_una_o_mas_muestra_mensaje_y_asocia</t>
        </is>
      </c>
      <c r="R63" s="71" t="inlineStr">
        <is>
          <t>Local</t>
        </is>
      </c>
      <c r="S63" s="71" t="inlineStr">
        <is>
          <t>c4fadff (qa-elliot)</t>
        </is>
      </c>
    </row>
    <row r="64" ht="47.5" customHeight="1" s="33">
      <c r="A64" s="71" t="inlineStr">
        <is>
          <t>CP-063</t>
        </is>
      </c>
      <c r="B64" s="71" t="inlineStr">
        <is>
          <t>HU-26</t>
        </is>
      </c>
      <c r="C64" s="71" t="inlineStr">
        <is>
          <t>RQ-HU26-02</t>
        </is>
      </c>
      <c r="D64" s="71" t="inlineStr">
        <is>
          <t>Funcional</t>
        </is>
      </c>
      <c r="E64" s="71" t="inlineStr">
        <is>
          <t>Alta</t>
        </is>
      </c>
      <c r="F64" s="71" t="inlineStr">
        <is>
          <t>Cliente Final</t>
        </is>
      </c>
      <c r="G64" s="71" t="inlineStr">
        <is>
          <t>Panel propio vacío</t>
        </is>
      </c>
      <c r="H64" s="71" t="inlineStr">
        <is>
          <t>1. POST /ubicaciones/lote con 1 solo id (como hace la pantalla con una selección).</t>
        </is>
      </c>
      <c r="I64" s="71" t="inlineStr">
        <is>
          <t>1 ubicación asignada</t>
        </is>
      </c>
      <c r="J64" s="71" t="inlineStr">
        <is>
          <t>201 y MSG «Ubicaciones añadidas correctamente»</t>
        </is>
      </c>
      <c r="K64" s="82" t="inlineStr">
        <is>
          <t>201, mensaje exacto</t>
        </is>
      </c>
      <c r="L64" s="83" t="inlineStr">
        <is>
          <t>Aprobado</t>
        </is>
      </c>
      <c r="M64" s="82" t="inlineStr">
        <is>
          <t>—</t>
        </is>
      </c>
      <c r="N64" s="82" t="inlineStr">
        <is>
          <t>EV-CP-063</t>
        </is>
      </c>
      <c r="O64" s="82" t="inlineStr">
        <is>
          <t>QA</t>
        </is>
      </c>
      <c r="P64" s="82" t="inlineStr">
        <is>
          <t>30/10/2026</t>
        </is>
      </c>
      <c r="Q64" s="71" t="inlineStr">
        <is>
          <t>qa/03_Evidencias/HU26/test_hu26_qa.py::test_ca2_agregar_una_sola_ubicacion_por_lote_usa_el_mensaje_del_criterio</t>
        </is>
      </c>
      <c r="R64" s="71" t="inlineStr">
        <is>
          <t>Local</t>
        </is>
      </c>
      <c r="S64" s="71" t="inlineStr">
        <is>
          <t>c4fadff (qa-elliot)</t>
        </is>
      </c>
    </row>
    <row r="65" ht="47.5" customHeight="1" s="33">
      <c r="A65" s="71" t="inlineStr">
        <is>
          <t>CP-064</t>
        </is>
      </c>
      <c r="B65" s="71" t="inlineStr">
        <is>
          <t>HU-26</t>
        </is>
      </c>
      <c r="C65" s="71" t="inlineStr">
        <is>
          <t>RQ-HU26-02</t>
        </is>
      </c>
      <c r="D65" s="71" t="inlineStr">
        <is>
          <t>Negativa</t>
        </is>
      </c>
      <c r="E65" s="71" t="inlineStr">
        <is>
          <t>Alta</t>
        </is>
      </c>
      <c r="F65" s="71" t="inlineStr">
        <is>
          <t>Cliente Final</t>
        </is>
      </c>
      <c r="G65" s="71" t="inlineStr">
        <is>
          <t>Ubicación ya añadida al panel</t>
        </is>
      </c>
      <c r="H65" s="71" t="inlineStr">
        <is>
          <t>1. Repetir POST lote y POST individual con la misma ubicación.</t>
        </is>
      </c>
      <c r="I65" s="71" t="inlineStr">
        <is>
          <t>Misma ubicación dos veces</t>
        </is>
      </c>
      <c r="J65" s="71" t="inlineStr">
        <is>
          <t>409 y no se duplica</t>
        </is>
      </c>
      <c r="K65" s="82" t="inlineStr">
        <is>
          <t>409 en ambos endpoints</t>
        </is>
      </c>
      <c r="L65" s="83" t="inlineStr">
        <is>
          <t>Aprobado</t>
        </is>
      </c>
      <c r="M65" s="82" t="inlineStr">
        <is>
          <t>—</t>
        </is>
      </c>
      <c r="N65" s="82" t="inlineStr">
        <is>
          <t>EV-CP-064</t>
        </is>
      </c>
      <c r="O65" s="82" t="inlineStr">
        <is>
          <t>QA</t>
        </is>
      </c>
      <c r="P65" s="82" t="inlineStr">
        <is>
          <t>30/10/2026</t>
        </is>
      </c>
      <c r="Q65" s="71" t="inlineStr">
        <is>
          <t>qa/03_Evidencias/HU26/test_hu26_qa.py::test_ca2_no_permite_duplicar_ubicacion_en_el_mismo_panel</t>
        </is>
      </c>
      <c r="R65" s="71" t="inlineStr">
        <is>
          <t>Local</t>
        </is>
      </c>
      <c r="S65" s="71" t="inlineStr">
        <is>
          <t>c4fadff (qa-elliot)</t>
        </is>
      </c>
    </row>
    <row r="66" ht="47.5" customHeight="1" s="33">
      <c r="A66" s="71" t="inlineStr">
        <is>
          <t>CP-065</t>
        </is>
      </c>
      <c r="B66" s="71" t="inlineStr">
        <is>
          <t>HU-26</t>
        </is>
      </c>
      <c r="C66" s="71" t="inlineStr">
        <is>
          <t>RQ-HU26-02</t>
        </is>
      </c>
      <c r="D66" s="71" t="inlineStr">
        <is>
          <t>Negativa</t>
        </is>
      </c>
      <c r="E66" s="71" t="inlineStr">
        <is>
          <t>Alta</t>
        </is>
      </c>
      <c r="F66" s="71" t="inlineStr">
        <is>
          <t>Cliente Final</t>
        </is>
      </c>
      <c r="G66" s="71" t="inlineStr">
        <is>
          <t>Panel propio vacío</t>
        </is>
      </c>
      <c r="H66" s="71" t="inlineStr">
        <is>
          <t>1. POST lote con [a, a].</t>
        </is>
      </c>
      <c r="I66" s="71" t="inlineStr">
        <is>
          <t>Id repetido en el lote</t>
        </is>
      </c>
      <c r="J66" s="71" t="inlineStr">
        <is>
          <t>422 y no se asocia nada</t>
        </is>
      </c>
      <c r="K66" s="82" t="inlineStr">
        <is>
          <t>422; 0 asociaciones</t>
        </is>
      </c>
      <c r="L66" s="83" t="inlineStr">
        <is>
          <t>Aprobado</t>
        </is>
      </c>
      <c r="M66" s="82" t="inlineStr">
        <is>
          <t>—</t>
        </is>
      </c>
      <c r="N66" s="82" t="inlineStr">
        <is>
          <t>EV-CP-065</t>
        </is>
      </c>
      <c r="O66" s="82" t="inlineStr">
        <is>
          <t>QA</t>
        </is>
      </c>
      <c r="P66" s="82" t="inlineStr">
        <is>
          <t>30/10/2026</t>
        </is>
      </c>
      <c r="Q66" s="71" t="inlineStr">
        <is>
          <t>qa/03_Evidencias/HU26/test_hu26_qa.py::test_ca2_duplicado_dentro_del_lote_se_rechaza_y_no_asocia_nada</t>
        </is>
      </c>
      <c r="R66" s="71" t="inlineStr">
        <is>
          <t>Local</t>
        </is>
      </c>
      <c r="S66" s="71" t="inlineStr">
        <is>
          <t>c4fadff (qa-elliot)</t>
        </is>
      </c>
    </row>
    <row r="67" ht="47.5" customHeight="1" s="33">
      <c r="A67" s="71" t="inlineStr">
        <is>
          <t>CP-066</t>
        </is>
      </c>
      <c r="B67" s="71" t="inlineStr">
        <is>
          <t>HU-26</t>
        </is>
      </c>
      <c r="C67" s="71" t="inlineStr">
        <is>
          <t>RQ-HU26-02</t>
        </is>
      </c>
      <c r="D67" s="71" t="inlineStr">
        <is>
          <t>Negativa</t>
        </is>
      </c>
      <c r="E67" s="71" t="inlineStr">
        <is>
          <t>Media</t>
        </is>
      </c>
      <c r="F67" s="71" t="inlineStr">
        <is>
          <t>Cliente Final</t>
        </is>
      </c>
      <c r="G67" s="71" t="inlineStr">
        <is>
          <t>1 ubicación ya añadida</t>
        </is>
      </c>
      <c r="H67" s="71" t="inlineStr">
        <is>
          <t>1. POST lote con [ya añadida, nueva].</t>
        </is>
      </c>
      <c r="I67" s="71" t="inlineStr">
        <is>
          <t>Lote mixto</t>
        </is>
      </c>
      <c r="J67" s="71" t="inlineStr">
        <is>
          <t>409 y no se añade ninguna (atómico)</t>
        </is>
      </c>
      <c r="K67" s="82" t="inlineStr">
        <is>
          <t>409; sigue 1 asociación</t>
        </is>
      </c>
      <c r="L67" s="83" t="inlineStr">
        <is>
          <t>Aprobado</t>
        </is>
      </c>
      <c r="M67" s="82" t="inlineStr">
        <is>
          <t>—</t>
        </is>
      </c>
      <c r="N67" s="82" t="inlineStr">
        <is>
          <t>EV-CP-066</t>
        </is>
      </c>
      <c r="O67" s="82" t="inlineStr">
        <is>
          <t>QA</t>
        </is>
      </c>
      <c r="P67" s="82" t="inlineStr">
        <is>
          <t>30/10/2026</t>
        </is>
      </c>
      <c r="Q67" s="71" t="inlineStr">
        <is>
          <t>qa/03_Evidencias/HU26/test_hu26_qa.py::test_ca2_lote_con_una_ya_asociada_es_atomico</t>
        </is>
      </c>
      <c r="R67" s="71" t="inlineStr">
        <is>
          <t>Local</t>
        </is>
      </c>
      <c r="S67" s="71" t="inlineStr">
        <is>
          <t>c4fadff (qa-elliot)</t>
        </is>
      </c>
    </row>
    <row r="68" ht="47.5" customHeight="1" s="33">
      <c r="A68" s="71" t="inlineStr">
        <is>
          <t>CP-067</t>
        </is>
      </c>
      <c r="B68" s="71" t="inlineStr">
        <is>
          <t>HU-26</t>
        </is>
      </c>
      <c r="C68" s="71" t="inlineStr">
        <is>
          <t>RQ-HU26-02</t>
        </is>
      </c>
      <c r="D68" s="71" t="inlineStr">
        <is>
          <t>Límite</t>
        </is>
      </c>
      <c r="E68" s="71" t="inlineStr">
        <is>
          <t>Media</t>
        </is>
      </c>
      <c r="F68" s="71" t="inlineStr">
        <is>
          <t>Cliente Final</t>
        </is>
      </c>
      <c r="G68" s="71" t="inlineStr">
        <is>
          <t>Dos paneles propios</t>
        </is>
      </c>
      <c r="H68" s="71" t="inlineStr">
        <is>
          <t>1. Añadir la misma ubicación a ambos paneles.</t>
        </is>
      </c>
      <c r="I68" s="71" t="inlineStr">
        <is>
          <t>Misma ubicación, 2 paneles</t>
        </is>
      </c>
      <c r="J68" s="71" t="inlineStr">
        <is>
          <t>La regla de no duplicar es por panel: ambos 201</t>
        </is>
      </c>
      <c r="K68" s="82" t="inlineStr">
        <is>
          <t>201 y 201</t>
        </is>
      </c>
      <c r="L68" s="83" t="inlineStr">
        <is>
          <t>Aprobado</t>
        </is>
      </c>
      <c r="M68" s="82" t="inlineStr">
        <is>
          <t>—</t>
        </is>
      </c>
      <c r="N68" s="82" t="inlineStr">
        <is>
          <t>EV-CP-067</t>
        </is>
      </c>
      <c r="O68" s="82" t="inlineStr">
        <is>
          <t>QA</t>
        </is>
      </c>
      <c r="P68" s="82" t="inlineStr">
        <is>
          <t>30/10/2026</t>
        </is>
      </c>
      <c r="Q68" s="71" t="inlineStr">
        <is>
          <t>qa/03_Evidencias/HU26/test_hu26_qa.py::test_ca2_misma_ubicacion_si_puede_estar_en_otro_panel</t>
        </is>
      </c>
      <c r="R68" s="71" t="inlineStr">
        <is>
          <t>Local</t>
        </is>
      </c>
      <c r="S68" s="71" t="inlineStr">
        <is>
          <t>c4fadff (qa-elliot)</t>
        </is>
      </c>
    </row>
    <row r="69" ht="47.5" customHeight="1" s="33">
      <c r="A69" s="71" t="inlineStr">
        <is>
          <t>CP-068</t>
        </is>
      </c>
      <c r="B69" s="71" t="inlineStr">
        <is>
          <t>HU-26</t>
        </is>
      </c>
      <c r="C69" s="71" t="inlineStr">
        <is>
          <t>RQ-HU26-05</t>
        </is>
      </c>
      <c r="D69" s="71" t="inlineStr">
        <is>
          <t>Seguridad</t>
        </is>
      </c>
      <c r="E69" s="71" t="inlineStr">
        <is>
          <t>Alta</t>
        </is>
      </c>
      <c r="F69" s="71" t="inlineStr">
        <is>
          <t>Cliente Final</t>
        </is>
      </c>
      <c r="G69" s="71" t="inlineStr">
        <is>
          <t>Ubicación de la sede sin permiso para el usuario</t>
        </is>
      </c>
      <c r="H69" s="71" t="inlineStr">
        <is>
          <t>1. POST lote y POST individual con la ubicación no asignada.</t>
        </is>
      </c>
      <c r="I69" s="71" t="inlineStr">
        <is>
          <t>Ubicación no asignada</t>
        </is>
      </c>
      <c r="J69" s="71" t="inlineStr">
        <is>
          <t>404 y nada se asocia</t>
        </is>
      </c>
      <c r="K69" s="82" t="inlineStr">
        <is>
          <t>404 en ambos; 0 asociaciones</t>
        </is>
      </c>
      <c r="L69" s="83" t="inlineStr">
        <is>
          <t>Aprobado</t>
        </is>
      </c>
      <c r="M69" s="82" t="inlineStr">
        <is>
          <t>—</t>
        </is>
      </c>
      <c r="N69" s="82" t="inlineStr">
        <is>
          <t>EV-CP-068</t>
        </is>
      </c>
      <c r="O69" s="82" t="inlineStr">
        <is>
          <t>QA</t>
        </is>
      </c>
      <c r="P69" s="82" t="inlineStr">
        <is>
          <t>30/10/2026</t>
        </is>
      </c>
      <c r="Q69" s="71" t="inlineStr">
        <is>
          <t>qa/03_Evidencias/HU26/test_hu26_qa.py::test_err_ubicacion_no_asignada_no_se_puede_agregar</t>
        </is>
      </c>
      <c r="R69" s="71" t="inlineStr">
        <is>
          <t>Local</t>
        </is>
      </c>
      <c r="S69" s="71" t="inlineStr">
        <is>
          <t>c4fadff (qa-elliot)</t>
        </is>
      </c>
    </row>
    <row r="70" ht="47.5" customHeight="1" s="33">
      <c r="A70" s="71" t="inlineStr">
        <is>
          <t>CP-069</t>
        </is>
      </c>
      <c r="B70" s="71" t="inlineStr">
        <is>
          <t>HU-26</t>
        </is>
      </c>
      <c r="C70" s="71" t="inlineStr">
        <is>
          <t>RQ-HU26-05</t>
        </is>
      </c>
      <c r="D70" s="71" t="inlineStr">
        <is>
          <t>Negativa</t>
        </is>
      </c>
      <c r="E70" s="71" t="inlineStr">
        <is>
          <t>Media</t>
        </is>
      </c>
      <c r="F70" s="71" t="inlineStr">
        <is>
          <t>Cliente Final</t>
        </is>
      </c>
      <c r="G70" s="71" t="inlineStr">
        <is>
          <t>Panel propio</t>
        </is>
      </c>
      <c r="H70" s="71" t="inlineStr">
        <is>
          <t>1. POST lote con [], [0], [-5], [999999] y ["x"].</t>
        </is>
      </c>
      <c r="I70" s="71" t="inlineStr">
        <is>
          <t>Entradas inválidas</t>
        </is>
      </c>
      <c r="J70" s="71" t="inlineStr">
        <is>
          <t>422 por vacío, cero, negativo y texto; 404 por id inexistente</t>
        </is>
      </c>
      <c r="K70" s="82" t="inlineStr">
        <is>
          <t>422, 422, 422, 404, 422</t>
        </is>
      </c>
      <c r="L70" s="83" t="inlineStr">
        <is>
          <t>Aprobado</t>
        </is>
      </c>
      <c r="M70" s="82" t="inlineStr">
        <is>
          <t>—</t>
        </is>
      </c>
      <c r="N70" s="82" t="inlineStr">
        <is>
          <t>EV-CP-069</t>
        </is>
      </c>
      <c r="O70" s="82" t="inlineStr">
        <is>
          <t>QA</t>
        </is>
      </c>
      <c r="P70" s="82" t="inlineStr">
        <is>
          <t>30/10/2026</t>
        </is>
      </c>
      <c r="Q70" s="71" t="inlineStr">
        <is>
          <t>qa/03_Evidencias/HU26/test_hu26_qa.py::test_err_lote_vacio_o_ids_invalidos</t>
        </is>
      </c>
      <c r="R70" s="71" t="inlineStr">
        <is>
          <t>Local</t>
        </is>
      </c>
      <c r="S70" s="71" t="inlineStr">
        <is>
          <t>c4fadff (qa-elliot)</t>
        </is>
      </c>
    </row>
    <row r="71" ht="47.5" customHeight="1" s="33">
      <c r="A71" s="71" t="inlineStr">
        <is>
          <t>CP-070</t>
        </is>
      </c>
      <c r="B71" s="71" t="inlineStr">
        <is>
          <t>HU-26</t>
        </is>
      </c>
      <c r="C71" s="71" t="inlineStr">
        <is>
          <t>RQ-HU26-05</t>
        </is>
      </c>
      <c r="D71" s="71" t="inlineStr">
        <is>
          <t>Seguridad</t>
        </is>
      </c>
      <c r="E71" s="71" t="inlineStr">
        <is>
          <t>Alta</t>
        </is>
      </c>
      <c r="F71" s="71" t="inlineStr">
        <is>
          <t>Cliente Final</t>
        </is>
      </c>
      <c r="G71" s="71" t="inlineStr">
        <is>
          <t>Panel inexistente y panel de otro usuario</t>
        </is>
      </c>
      <c r="H71" s="71" t="inlineStr">
        <is>
          <t>1. POST lote, DELETE y GET disponibles sobre ellos.</t>
        </is>
      </c>
      <c r="I71" s="71" t="inlineStr">
        <is>
          <t>Panel 999999 y panel ajeno</t>
        </is>
      </c>
      <c r="J71" s="71" t="inlineStr">
        <is>
          <t>404 sin revelar el panel ajeno</t>
        </is>
      </c>
      <c r="K71" s="82" t="inlineStr">
        <is>
          <t>404 en todos</t>
        </is>
      </c>
      <c r="L71" s="83" t="inlineStr">
        <is>
          <t>Aprobado</t>
        </is>
      </c>
      <c r="M71" s="82" t="inlineStr">
        <is>
          <t>—</t>
        </is>
      </c>
      <c r="N71" s="82" t="inlineStr">
        <is>
          <t>EV-CP-070</t>
        </is>
      </c>
      <c r="O71" s="82" t="inlineStr">
        <is>
          <t>QA</t>
        </is>
      </c>
      <c r="P71" s="82" t="inlineStr">
        <is>
          <t>30/10/2026</t>
        </is>
      </c>
      <c r="Q71" s="71" t="inlineStr">
        <is>
          <t>qa/03_Evidencias/HU26/test_hu26_qa.py::test_err_panel_inexistente_o_ajeno</t>
        </is>
      </c>
      <c r="R71" s="71" t="inlineStr">
        <is>
          <t>Local</t>
        </is>
      </c>
      <c r="S71" s="71" t="inlineStr">
        <is>
          <t>c4fadff (qa-elliot)</t>
        </is>
      </c>
    </row>
    <row r="72" ht="47.5" customHeight="1" s="33">
      <c r="A72" s="71" t="inlineStr">
        <is>
          <t>CP-071</t>
        </is>
      </c>
      <c r="B72" s="71" t="inlineStr">
        <is>
          <t>HU-26</t>
        </is>
      </c>
      <c r="C72" s="71" t="inlineStr">
        <is>
          <t>RQ-HU26-05</t>
        </is>
      </c>
      <c r="D72" s="71" t="inlineStr">
        <is>
          <t>Seguridad</t>
        </is>
      </c>
      <c r="E72" s="71" t="inlineStr">
        <is>
          <t>Alta</t>
        </is>
      </c>
      <c r="F72" s="71" t="inlineStr">
        <is>
          <t>Sin sesión</t>
        </is>
      </c>
      <c r="G72" s="71" t="inlineStr">
        <is>
          <t>Sin autenticación</t>
        </is>
      </c>
      <c r="H72" s="71" t="inlineStr">
        <is>
          <t>1. GET disponibles, POST lote y DELETE sin token.</t>
        </is>
      </c>
      <c r="I72" s="71" t="inlineStr">
        <is>
          <t>Sin token</t>
        </is>
      </c>
      <c r="J72" s="71" t="inlineStr">
        <is>
          <t>401</t>
        </is>
      </c>
      <c r="K72" s="82" t="inlineStr">
        <is>
          <t>401, 401, 401</t>
        </is>
      </c>
      <c r="L72" s="83" t="inlineStr">
        <is>
          <t>Aprobado</t>
        </is>
      </c>
      <c r="M72" s="82" t="inlineStr">
        <is>
          <t>—</t>
        </is>
      </c>
      <c r="N72" s="82" t="inlineStr">
        <is>
          <t>EV-CP-071</t>
        </is>
      </c>
      <c r="O72" s="82" t="inlineStr">
        <is>
          <t>QA</t>
        </is>
      </c>
      <c r="P72" s="82" t="inlineStr">
        <is>
          <t>30/10/2026</t>
        </is>
      </c>
      <c r="Q72" s="71" t="inlineStr">
        <is>
          <t>qa/03_Evidencias/HU26/test_hu26_qa.py::test_err_sin_autenticacion_401</t>
        </is>
      </c>
      <c r="R72" s="71" t="inlineStr">
        <is>
          <t>Local</t>
        </is>
      </c>
      <c r="S72" s="71" t="inlineStr">
        <is>
          <t>c4fadff (qa-elliot)</t>
        </is>
      </c>
    </row>
    <row r="73" ht="47.5" customHeight="1" s="33">
      <c r="A73" s="71" t="inlineStr">
        <is>
          <t>CP-072</t>
        </is>
      </c>
      <c r="B73" s="71" t="inlineStr">
        <is>
          <t>HU-26</t>
        </is>
      </c>
      <c r="C73" s="71" t="inlineStr">
        <is>
          <t>RQ-HU26-05</t>
        </is>
      </c>
      <c r="D73" s="71" t="inlineStr">
        <is>
          <t>Seguridad</t>
        </is>
      </c>
      <c r="E73" s="71" t="inlineStr">
        <is>
          <t>Alta</t>
        </is>
      </c>
      <c r="F73" s="71" t="inlineStr">
        <is>
          <t>Cliente Final con Lectura en Tableros</t>
        </is>
      </c>
      <c r="G73" s="71" t="inlineStr">
        <is>
          <t>Usuario con solo Lectura</t>
        </is>
      </c>
      <c r="H73" s="71" t="inlineStr">
        <is>
          <t>1. POST lote y DELETE quitar.</t>
        </is>
      </c>
      <c r="I73" s="71" t="inlineStr">
        <is>
          <t>Permiso Lectura</t>
        </is>
      </c>
      <c r="J73" s="71" t="inlineStr">
        <is>
          <t>403 (no puede gestionar el panel)</t>
        </is>
      </c>
      <c r="K73" s="82" t="inlineStr">
        <is>
          <t>403/404</t>
        </is>
      </c>
      <c r="L73" s="83" t="inlineStr">
        <is>
          <t>Aprobado</t>
        </is>
      </c>
      <c r="M73" s="82" t="inlineStr">
        <is>
          <t>—</t>
        </is>
      </c>
      <c r="N73" s="82" t="inlineStr">
        <is>
          <t>EV-CP-072</t>
        </is>
      </c>
      <c r="O73" s="82" t="inlineStr">
        <is>
          <t>QA</t>
        </is>
      </c>
      <c r="P73" s="82" t="inlineStr">
        <is>
          <t>30/10/2026</t>
        </is>
      </c>
      <c r="Q73" s="71" t="inlineStr">
        <is>
          <t>qa/03_Evidencias/HU26/test_hu26_qa.py::test_err_rol_solo_lectura_no_puede_agregar_ni_quitar</t>
        </is>
      </c>
      <c r="R73" s="71" t="inlineStr">
        <is>
          <t>Local</t>
        </is>
      </c>
      <c r="S73" s="71" t="inlineStr">
        <is>
          <t>c4fadff (qa-elliot)</t>
        </is>
      </c>
    </row>
    <row r="74" ht="47.5" customHeight="1" s="33">
      <c r="A74" s="71" t="inlineStr">
        <is>
          <t>CP-073</t>
        </is>
      </c>
      <c r="B74" s="71" t="inlineStr">
        <is>
          <t>HU-26</t>
        </is>
      </c>
      <c r="C74" s="71" t="inlineStr">
        <is>
          <t>RQ-HU26-03</t>
        </is>
      </c>
      <c r="D74" s="71" t="inlineStr">
        <is>
          <t>Funcional</t>
        </is>
      </c>
      <c r="E74" s="71" t="inlineStr">
        <is>
          <t>Alta</t>
        </is>
      </c>
      <c r="F74" s="71" t="inlineStr">
        <is>
          <t>Cliente Final</t>
        </is>
      </c>
      <c r="G74" s="71" t="inlineStr">
        <is>
          <t>Ubicación con dispositivo y telemetría (23.5)</t>
        </is>
      </c>
      <c r="H74" s="71" t="inlineStr">
        <is>
          <t>1. Añadir la ubicación. 2. GET /contenido.</t>
        </is>
      </c>
      <c r="I74" s="71" t="inlineStr">
        <is>
          <t>1 lectura de QA Temperatura</t>
        </is>
      </c>
      <c r="J74" s="71" t="inlineStr">
        <is>
          <t>La ubicación trae nombre, última lectura y últimos valores</t>
        </is>
      </c>
      <c r="K74" s="82" t="inlineStr">
        <is>
          <t>Nombre, ultima_lectura y ultimos_valores con datos</t>
        </is>
      </c>
      <c r="L74" s="83" t="inlineStr">
        <is>
          <t>Aprobado</t>
        </is>
      </c>
      <c r="M74" s="82" t="inlineStr">
        <is>
          <t>—</t>
        </is>
      </c>
      <c r="N74" s="82" t="inlineStr">
        <is>
          <t>EV-CP-073</t>
        </is>
      </c>
      <c r="O74" s="82" t="inlineStr">
        <is>
          <t>QA</t>
        </is>
      </c>
      <c r="P74" s="82" t="inlineStr">
        <is>
          <t>30/10/2026</t>
        </is>
      </c>
      <c r="Q74" s="71" t="inlineStr">
        <is>
          <t>qa/03_Evidencias/HU26/test_hu26_qa.py::test_ca3_ubicacion_anadida_muestra_nombre_y_ultimos_valores</t>
        </is>
      </c>
      <c r="R74" s="71" t="inlineStr">
        <is>
          <t>Local</t>
        </is>
      </c>
      <c r="S74" s="71" t="inlineStr">
        <is>
          <t>c4fadff (qa-elliot)</t>
        </is>
      </c>
    </row>
    <row r="75" ht="47.5" customHeight="1" s="33">
      <c r="A75" s="71" t="inlineStr">
        <is>
          <t>CP-074</t>
        </is>
      </c>
      <c r="B75" s="71" t="inlineStr">
        <is>
          <t>HU-26</t>
        </is>
      </c>
      <c r="C75" s="71" t="inlineStr">
        <is>
          <t>RQ-HU26-03</t>
        </is>
      </c>
      <c r="D75" s="71" t="inlineStr">
        <is>
          <t>Límite</t>
        </is>
      </c>
      <c r="E75" s="71" t="inlineStr">
        <is>
          <t>Media</t>
        </is>
      </c>
      <c r="F75" s="71" t="inlineStr">
        <is>
          <t>Cliente Final</t>
        </is>
      </c>
      <c r="G75" s="71" t="inlineStr">
        <is>
          <t>Ubicación sin telemetría</t>
        </is>
      </c>
      <c r="H75" s="71" t="inlineStr">
        <is>
          <t>1. Añadir la ubicación. 2. GET /contenido.</t>
        </is>
      </c>
      <c r="I75" s="71" t="inlineStr">
        <is>
          <t>Sin lecturas</t>
        </is>
      </c>
      <c r="J75" s="71" t="inlineStr">
        <is>
          <t>Aparece con nombre y sin valores, sin error</t>
        </is>
      </c>
      <c r="K75" s="82" t="inlineStr">
        <is>
          <t>Nombre y ultimos_valores vacío</t>
        </is>
      </c>
      <c r="L75" s="83" t="inlineStr">
        <is>
          <t>Aprobado</t>
        </is>
      </c>
      <c r="M75" s="82" t="inlineStr">
        <is>
          <t>—</t>
        </is>
      </c>
      <c r="N75" s="82" t="inlineStr">
        <is>
          <t>EV-CP-074</t>
        </is>
      </c>
      <c r="O75" s="82" t="inlineStr">
        <is>
          <t>QA</t>
        </is>
      </c>
      <c r="P75" s="82" t="inlineStr">
        <is>
          <t>30/10/2026</t>
        </is>
      </c>
      <c r="Q75" s="71" t="inlineStr">
        <is>
          <t>qa/03_Evidencias/HU26/test_hu26_qa.py::test_ca3_ubicacion_sin_telemetria_aparece_con_nombre_y_sin_valores</t>
        </is>
      </c>
      <c r="R75" s="71" t="inlineStr">
        <is>
          <t>Local</t>
        </is>
      </c>
      <c r="S75" s="71" t="inlineStr">
        <is>
          <t>c4fadff (qa-elliot)</t>
        </is>
      </c>
    </row>
    <row r="76" ht="47.5" customHeight="1" s="33">
      <c r="A76" s="71" t="inlineStr">
        <is>
          <t>CP-075</t>
        </is>
      </c>
      <c r="B76" s="71" t="inlineStr">
        <is>
          <t>HU-26</t>
        </is>
      </c>
      <c r="C76" s="71" t="inlineStr">
        <is>
          <t>RQ-HU26-04</t>
        </is>
      </c>
      <c r="D76" s="71" t="inlineStr">
        <is>
          <t>Funcional</t>
        </is>
      </c>
      <c r="E76" s="71" t="inlineStr">
        <is>
          <t>Alta</t>
        </is>
      </c>
      <c r="F76" s="71" t="inlineStr">
        <is>
          <t>Cliente Final</t>
        </is>
      </c>
      <c r="G76" s="71" t="inlineStr">
        <is>
          <t>2 ubicaciones en el panel</t>
        </is>
      </c>
      <c r="H76" s="71" t="inlineStr">
        <is>
          <t>1. DELETE de una. 2. GET /contenido.</t>
        </is>
      </c>
      <c r="I76" s="71" t="inlineStr">
        <is>
          <t>DELETE /ubicaciones/{id}</t>
        </is>
      </c>
      <c r="J76" s="71" t="inlineStr">
        <is>
          <t>200, MSG «Ubicación retirada del panel» y solo queda la otra</t>
        </is>
      </c>
      <c r="K76" s="82" t="inlineStr">
        <is>
          <t>200, mensaje exacto, 1 restante</t>
        </is>
      </c>
      <c r="L76" s="83" t="inlineStr">
        <is>
          <t>Aprobado</t>
        </is>
      </c>
      <c r="M76" s="82" t="inlineStr">
        <is>
          <t>—</t>
        </is>
      </c>
      <c r="N76" s="82" t="inlineStr">
        <is>
          <t>EV-CP-075</t>
        </is>
      </c>
      <c r="O76" s="82" t="inlineStr">
        <is>
          <t>QA</t>
        </is>
      </c>
      <c r="P76" s="82" t="inlineStr">
        <is>
          <t>30/10/2026</t>
        </is>
      </c>
      <c r="Q76" s="71" t="inlineStr">
        <is>
          <t>qa/03_Evidencias/HU26/test_hu26_qa.py::test_ca4_quitar_retira_del_panel_y_muestra_mensaje</t>
        </is>
      </c>
      <c r="R76" s="71" t="inlineStr">
        <is>
          <t>Local</t>
        </is>
      </c>
      <c r="S76" s="71" t="inlineStr">
        <is>
          <t>c4fadff (qa-elliot)</t>
        </is>
      </c>
    </row>
    <row r="77" ht="47.5" customHeight="1" s="33">
      <c r="A77" s="71" t="inlineStr">
        <is>
          <t>CP-076</t>
        </is>
      </c>
      <c r="B77" s="71" t="inlineStr">
        <is>
          <t>HU-26</t>
        </is>
      </c>
      <c r="C77" s="71" t="inlineStr">
        <is>
          <t>RQ-HU26-04</t>
        </is>
      </c>
      <c r="D77" s="71" t="inlineStr">
        <is>
          <t>Funcional</t>
        </is>
      </c>
      <c r="E77" s="71" t="inlineStr">
        <is>
          <t>Alta</t>
        </is>
      </c>
      <c r="F77" s="71" t="inlineStr">
        <is>
          <t>Cliente Final</t>
        </is>
      </c>
      <c r="G77" s="71" t="inlineStr">
        <is>
          <t>Ubicación con 3 lecturas en el panel</t>
        </is>
      </c>
      <c r="H77" s="71" t="inlineStr">
        <is>
          <t>1. Quitarla. 2. Contar telemetría y ubicación.</t>
        </is>
      </c>
      <c r="I77" s="71" t="inlineStr">
        <is>
          <t>3 lecturas</t>
        </is>
      </c>
      <c r="J77" s="71" t="inlineStr">
        <is>
          <t>Las 3 lecturas y la ubicación siguen en el sistema</t>
        </is>
      </c>
      <c r="K77" s="82" t="inlineStr">
        <is>
          <t>3 lecturas y ubicación presentes</t>
        </is>
      </c>
      <c r="L77" s="83" t="inlineStr">
        <is>
          <t>Aprobado</t>
        </is>
      </c>
      <c r="M77" s="82" t="inlineStr">
        <is>
          <t>—</t>
        </is>
      </c>
      <c r="N77" s="82" t="inlineStr">
        <is>
          <t>EV-CP-076</t>
        </is>
      </c>
      <c r="O77" s="82" t="inlineStr">
        <is>
          <t>QA</t>
        </is>
      </c>
      <c r="P77" s="82" t="inlineStr">
        <is>
          <t>30/10/2026</t>
        </is>
      </c>
      <c r="Q77" s="71" t="inlineStr">
        <is>
          <t>qa/03_Evidencias/HU26/test_hu26_qa.py::test_ca4_quitar_no_elimina_telemetria_ni_registro_de_ubicacion</t>
        </is>
      </c>
      <c r="R77" s="71" t="inlineStr">
        <is>
          <t>Local</t>
        </is>
      </c>
      <c r="S77" s="71" t="inlineStr">
        <is>
          <t>c4fadff (qa-elliot)</t>
        </is>
      </c>
    </row>
    <row r="78" ht="47.5" customHeight="1" s="33">
      <c r="A78" s="71" t="inlineStr">
        <is>
          <t>CP-077</t>
        </is>
      </c>
      <c r="B78" s="71" t="inlineStr">
        <is>
          <t>HU-26</t>
        </is>
      </c>
      <c r="C78" s="71" t="inlineStr">
        <is>
          <t>RQ-HU26-04</t>
        </is>
      </c>
      <c r="D78" s="71" t="inlineStr">
        <is>
          <t>Negativa</t>
        </is>
      </c>
      <c r="E78" s="71" t="inlineStr">
        <is>
          <t>Media</t>
        </is>
      </c>
      <c r="F78" s="71" t="inlineStr">
        <is>
          <t>Cliente Final</t>
        </is>
      </c>
      <c r="G78" s="71" t="inlineStr">
        <is>
          <t>Ubicación que no está en el panel</t>
        </is>
      </c>
      <c r="H78" s="71" t="inlineStr">
        <is>
          <t>1. DELETE.</t>
        </is>
      </c>
      <c r="I78" s="71" t="inlineStr">
        <is>
          <t>Ubicación no asociada</t>
        </is>
      </c>
      <c r="J78" s="71" t="inlineStr">
        <is>
          <t>404</t>
        </is>
      </c>
      <c r="K78" s="82" t="inlineStr">
        <is>
          <t>404</t>
        </is>
      </c>
      <c r="L78" s="83" t="inlineStr">
        <is>
          <t>Aprobado</t>
        </is>
      </c>
      <c r="M78" s="82" t="inlineStr">
        <is>
          <t>—</t>
        </is>
      </c>
      <c r="N78" s="82" t="inlineStr">
        <is>
          <t>EV-CP-077</t>
        </is>
      </c>
      <c r="O78" s="82" t="inlineStr">
        <is>
          <t>QA</t>
        </is>
      </c>
      <c r="P78" s="82" t="inlineStr">
        <is>
          <t>30/10/2026</t>
        </is>
      </c>
      <c r="Q78" s="71" t="inlineStr">
        <is>
          <t>qa/03_Evidencias/HU26/test_hu26_qa.py::test_ca4_quitar_ubicacion_que_no_esta_en_el_panel_404</t>
        </is>
      </c>
      <c r="R78" s="71" t="inlineStr">
        <is>
          <t>Local</t>
        </is>
      </c>
      <c r="S78" s="71" t="inlineStr">
        <is>
          <t>c4fadff (qa-elliot)</t>
        </is>
      </c>
    </row>
    <row r="79" ht="47.5" customHeight="1" s="33">
      <c r="A79" s="71" t="inlineStr">
        <is>
          <t>CP-078</t>
        </is>
      </c>
      <c r="B79" s="71" t="inlineStr">
        <is>
          <t>HU-26</t>
        </is>
      </c>
      <c r="C79" s="71" t="inlineStr">
        <is>
          <t>RQ-HU26-04</t>
        </is>
      </c>
      <c r="D79" s="71" t="inlineStr">
        <is>
          <t>Negativa</t>
        </is>
      </c>
      <c r="E79" s="71" t="inlineStr">
        <is>
          <t>Media</t>
        </is>
      </c>
      <c r="F79" s="71" t="inlineStr">
        <is>
          <t>Cliente Final</t>
        </is>
      </c>
      <c r="G79" s="71" t="inlineStr">
        <is>
          <t>Ubicación ya quitada</t>
        </is>
      </c>
      <c r="H79" s="71" t="inlineStr">
        <is>
          <t>1. DELETE dos veces.</t>
        </is>
      </c>
      <c r="I79" s="71" t="inlineStr">
        <is>
          <t>Doble DELETE</t>
        </is>
      </c>
      <c r="J79" s="71" t="inlineStr">
        <is>
          <t>200 y luego 404</t>
        </is>
      </c>
      <c r="K79" s="82" t="inlineStr">
        <is>
          <t>200 y 404</t>
        </is>
      </c>
      <c r="L79" s="83" t="inlineStr">
        <is>
          <t>Aprobado</t>
        </is>
      </c>
      <c r="M79" s="82" t="inlineStr">
        <is>
          <t>—</t>
        </is>
      </c>
      <c r="N79" s="82" t="inlineStr">
        <is>
          <t>EV-CP-078</t>
        </is>
      </c>
      <c r="O79" s="82" t="inlineStr">
        <is>
          <t>QA</t>
        </is>
      </c>
      <c r="P79" s="82" t="inlineStr">
        <is>
          <t>30/10/2026</t>
        </is>
      </c>
      <c r="Q79" s="71" t="inlineStr">
        <is>
          <t>qa/03_Evidencias/HU26/test_hu26_qa.py::test_ca4_quitar_dos_veces_la_segunda_da_404</t>
        </is>
      </c>
      <c r="R79" s="71" t="inlineStr">
        <is>
          <t>Local</t>
        </is>
      </c>
      <c r="S79" s="71" t="inlineStr">
        <is>
          <t>c4fadff (qa-elliot)</t>
        </is>
      </c>
    </row>
    <row r="80" ht="47.5" customHeight="1" s="33">
      <c r="A80" s="71" t="inlineStr">
        <is>
          <t>CP-079</t>
        </is>
      </c>
      <c r="B80" s="71" t="inlineStr">
        <is>
          <t>HU-26</t>
        </is>
      </c>
      <c r="C80" s="71" t="inlineStr">
        <is>
          <t>RQ-HU26-04</t>
        </is>
      </c>
      <c r="D80" s="71" t="inlineStr">
        <is>
          <t>Funcional</t>
        </is>
      </c>
      <c r="E80" s="71" t="inlineStr">
        <is>
          <t>Media</t>
        </is>
      </c>
      <c r="F80" s="71" t="inlineStr">
        <is>
          <t>Cliente Final</t>
        </is>
      </c>
      <c r="G80" s="71" t="inlineStr">
        <is>
          <t>Misma ubicación en 2 paneles</t>
        </is>
      </c>
      <c r="H80" s="71" t="inlineStr">
        <is>
          <t>1. Quitarla de un panel.</t>
        </is>
      </c>
      <c r="I80" s="71" t="inlineStr">
        <is>
          <t>2 paneles</t>
        </is>
      </c>
      <c r="J80" s="71" t="inlineStr">
        <is>
          <t>El otro panel la conserva</t>
        </is>
      </c>
      <c r="K80" s="82" t="inlineStr">
        <is>
          <t>1 asociación en el otro panel</t>
        </is>
      </c>
      <c r="L80" s="83" t="inlineStr">
        <is>
          <t>Aprobado</t>
        </is>
      </c>
      <c r="M80" s="82" t="inlineStr">
        <is>
          <t>—</t>
        </is>
      </c>
      <c r="N80" s="82" t="inlineStr">
        <is>
          <t>EV-CP-079</t>
        </is>
      </c>
      <c r="O80" s="82" t="inlineStr">
        <is>
          <t>QA</t>
        </is>
      </c>
      <c r="P80" s="82" t="inlineStr">
        <is>
          <t>30/10/2026</t>
        </is>
      </c>
      <c r="Q80" s="71" t="inlineStr">
        <is>
          <t>qa/03_Evidencias/HU26/test_hu26_qa.py::test_ca4_quitar_en_un_panel_no_afecta_a_otro_panel</t>
        </is>
      </c>
      <c r="R80" s="71" t="inlineStr">
        <is>
          <t>Local</t>
        </is>
      </c>
      <c r="S80" s="71" t="inlineStr">
        <is>
          <t>c4fadff (qa-elliot)</t>
        </is>
      </c>
    </row>
    <row r="81" ht="47.5" customHeight="1" s="33">
      <c r="A81" s="71" t="inlineStr">
        <is>
          <t>CP-080</t>
        </is>
      </c>
      <c r="B81" s="71" t="inlineStr">
        <is>
          <t>HU-26</t>
        </is>
      </c>
      <c r="C81" s="71" t="inlineStr">
        <is>
          <t>RQ-HU26-04</t>
        </is>
      </c>
      <c r="D81" s="71" t="inlineStr">
        <is>
          <t>Funcional</t>
        </is>
      </c>
      <c r="E81" s="71" t="inlineStr">
        <is>
          <t>Media</t>
        </is>
      </c>
      <c r="F81" s="71" t="inlineStr">
        <is>
          <t>Cliente Final</t>
        </is>
      </c>
      <c r="G81" s="71" t="inlineStr">
        <is>
          <t>Ubicación quitada</t>
        </is>
      </c>
      <c r="H81" s="71" t="inlineStr">
        <is>
          <t>1. Volver a añadirla.</t>
        </is>
      </c>
      <c r="I81" s="71" t="inlineStr">
        <is>
          <t>Re-añadir</t>
        </is>
      </c>
      <c r="J81" s="71" t="inlineStr">
        <is>
          <t>201: puede volver a añadirse</t>
        </is>
      </c>
      <c r="K81" s="82" t="inlineStr">
        <is>
          <t>201</t>
        </is>
      </c>
      <c r="L81" s="83" t="inlineStr">
        <is>
          <t>Aprobado</t>
        </is>
      </c>
      <c r="M81" s="82" t="inlineStr">
        <is>
          <t>—</t>
        </is>
      </c>
      <c r="N81" s="82" t="inlineStr">
        <is>
          <t>EV-CP-080</t>
        </is>
      </c>
      <c r="O81" s="82" t="inlineStr">
        <is>
          <t>QA</t>
        </is>
      </c>
      <c r="P81" s="82" t="inlineStr">
        <is>
          <t>30/10/2026</t>
        </is>
      </c>
      <c r="Q81" s="71" t="inlineStr">
        <is>
          <t>qa/03_Evidencias/HU26/test_hu26_qa.py::test_ca4_ubicacion_quitada_vuelve_a_poder_agregarse</t>
        </is>
      </c>
      <c r="R81" s="71" t="inlineStr">
        <is>
          <t>Local</t>
        </is>
      </c>
      <c r="S81" s="71" t="inlineStr">
        <is>
          <t>c4fadff (qa-elliot)</t>
        </is>
      </c>
    </row>
    <row r="82" ht="47.5" customHeight="1" s="33">
      <c r="A82" s="71" t="inlineStr">
        <is>
          <t>CP-081</t>
        </is>
      </c>
      <c r="B82" s="71" t="inlineStr">
        <is>
          <t>HU-26</t>
        </is>
      </c>
      <c r="C82" s="71" t="inlineStr">
        <is>
          <t>RQ-HU26-04</t>
        </is>
      </c>
      <c r="D82" s="71" t="inlineStr">
        <is>
          <t>Funcional</t>
        </is>
      </c>
      <c r="E82" s="71" t="inlineStr">
        <is>
          <t>Baja</t>
        </is>
      </c>
      <c r="F82" s="71" t="inlineStr">
        <is>
          <t>Cliente Final</t>
        </is>
      </c>
      <c r="G82" s="71" t="inlineStr">
        <is>
          <t>Ubicación con un widget en el panel</t>
        </is>
      </c>
      <c r="H82" s="71" t="inlineStr">
        <is>
          <t>1. Quitar la ubicación. 2. Contar widgets.</t>
        </is>
      </c>
      <c r="I82" s="71" t="inlineStr">
        <is>
          <t>1 widget</t>
        </is>
      </c>
      <c r="J82" s="71" t="inlineStr">
        <is>
          <t>Observación: se eliminan los widgets de esa ubicación (la HU no lo dice; el modal lo avisa)</t>
        </is>
      </c>
      <c r="K82" s="82" t="inlineStr">
        <is>
          <t>0 widgets (ver OBS-15)</t>
        </is>
      </c>
      <c r="L82" s="83" t="inlineStr">
        <is>
          <t>Aprobado</t>
        </is>
      </c>
      <c r="M82" s="82" t="inlineStr">
        <is>
          <t>—</t>
        </is>
      </c>
      <c r="N82" s="82" t="inlineStr">
        <is>
          <t>EV-CP-081</t>
        </is>
      </c>
      <c r="O82" s="82" t="inlineStr">
        <is>
          <t>QA</t>
        </is>
      </c>
      <c r="P82" s="82" t="inlineStr">
        <is>
          <t>30/10/2026</t>
        </is>
      </c>
      <c r="Q82" s="71" t="inlineStr">
        <is>
          <t>qa/03_Evidencias/HU26/test_hu26_qa.py::test_obs_quitar_ubicacion_borra_sus_widgets</t>
        </is>
      </c>
      <c r="R82" s="71" t="inlineStr">
        <is>
          <t>Local</t>
        </is>
      </c>
      <c r="S82" s="71" t="inlineStr">
        <is>
          <t>c4fadff (qa-elliot)</t>
        </is>
      </c>
    </row>
    <row r="83" ht="47.5" customHeight="1" s="33">
      <c r="A83" s="71" t="inlineStr">
        <is>
          <t>CP-082</t>
        </is>
      </c>
      <c r="B83" s="71" t="inlineStr">
        <is>
          <t>HU-26</t>
        </is>
      </c>
      <c r="C83" s="71" t="inlineStr">
        <is>
          <t>RQ-HU26-01</t>
        </is>
      </c>
      <c r="D83" s="71" t="inlineStr">
        <is>
          <t>Funcional</t>
        </is>
      </c>
      <c r="E83" s="71" t="inlineStr">
        <is>
          <t>Alta</t>
        </is>
      </c>
      <c r="F83" s="71" t="inlineStr">
        <is>
          <t>Cliente Final (cliente@pangea-dev.com)</t>
        </is>
      </c>
      <c r="G83" s="71" t="inlineStr">
        <is>
          <t>Panel recién creado desde la pantalla</t>
        </is>
      </c>
      <c r="H83" s="71" t="inlineStr">
        <is>
          <t>1. Abrir el panel vacío.</t>
        </is>
      </c>
      <c r="I83" s="71" t="inlineStr">
        <is>
          <t>Panel «QA HU26 ####»</t>
        </is>
      </c>
      <c r="J83" s="71" t="inlineStr">
        <is>
          <t>Mensaje de panel vacío y botón «+ Añadir ubicaciones»</t>
        </is>
      </c>
      <c r="K83" s="82" t="inlineStr">
        <is>
          <t>Mensaje y botón visibles</t>
        </is>
      </c>
      <c r="L83" s="83" t="inlineStr">
        <is>
          <t>Aprobado</t>
        </is>
      </c>
      <c r="M83" s="82" t="inlineStr">
        <is>
          <t>—</t>
        </is>
      </c>
      <c r="N83" s="82" t="inlineStr">
        <is>
          <t>EV-CP-082</t>
        </is>
      </c>
      <c r="O83" s="82" t="inlineStr">
        <is>
          <t>QA</t>
        </is>
      </c>
      <c r="P83" s="82" t="inlineStr">
        <is>
          <t>30/10/2026</t>
        </is>
      </c>
      <c r="Q83" s="71" t="inlineStr">
        <is>
          <t>hu26.spec.mjs · CP-E2E-01 panel nuevo sin ubicaciones ofrece «Añadir ubicaciones»</t>
        </is>
      </c>
      <c r="R83" s="71" t="inlineStr">
        <is>
          <t>Local</t>
        </is>
      </c>
      <c r="S83" s="71" t="inlineStr">
        <is>
          <t>c4fadff (qa-elliot)</t>
        </is>
      </c>
    </row>
    <row r="84" ht="47.5" customHeight="1" s="33">
      <c r="A84" s="71" t="inlineStr">
        <is>
          <t>CP-083</t>
        </is>
      </c>
      <c r="B84" s="71" t="inlineStr">
        <is>
          <t>HU-26</t>
        </is>
      </c>
      <c r="C84" s="71" t="inlineStr">
        <is>
          <t>RQ-HU26-01</t>
        </is>
      </c>
      <c r="D84" s="71" t="inlineStr">
        <is>
          <t>Funcional</t>
        </is>
      </c>
      <c r="E84" s="71" t="inlineStr">
        <is>
          <t>Alta</t>
        </is>
      </c>
      <c r="F84" s="71" t="inlineStr">
        <is>
          <t>Cliente Final (cliente@pangea-dev.com)</t>
        </is>
      </c>
      <c r="G84" s="71" t="inlineStr">
        <is>
          <t>Panel vacío; 2 ubicaciones asignadas y 1 sin asignar</t>
        </is>
      </c>
      <c r="H84" s="71" t="inlineStr">
        <is>
          <t>1. Pulsar «+ Añadir ubicaciones».</t>
        </is>
      </c>
      <c r="I84" s="71" t="inlineStr">
        <is>
          <t>2 asignadas + [QA] Estación NO asignada</t>
        </is>
      </c>
      <c r="J84" s="71" t="inlineStr">
        <is>
          <t>El drawer lista las 2 asignadas y no la no asignada</t>
        </is>
      </c>
      <c r="K84" s="82" t="inlineStr">
        <is>
          <t>Lista las 2; la no asignada no aparece</t>
        </is>
      </c>
      <c r="L84" s="83" t="inlineStr">
        <is>
          <t>Aprobado</t>
        </is>
      </c>
      <c r="M84" s="82" t="inlineStr">
        <is>
          <t>—</t>
        </is>
      </c>
      <c r="N84" s="82" t="inlineStr">
        <is>
          <t>EV-CP-083</t>
        </is>
      </c>
      <c r="O84" s="82" t="inlineStr">
        <is>
          <t>QA</t>
        </is>
      </c>
      <c r="P84" s="82" t="inlineStr">
        <is>
          <t>30/10/2026</t>
        </is>
      </c>
      <c r="Q84" s="71" t="inlineStr">
        <is>
          <t>hu26.spec.mjs · CA1 el selector lista las ubicaciones disponibles de la cuenta</t>
        </is>
      </c>
      <c r="R84" s="71" t="inlineStr">
        <is>
          <t>Local</t>
        </is>
      </c>
      <c r="S84" s="71" t="inlineStr">
        <is>
          <t>c4fadff (qa-elliot)</t>
        </is>
      </c>
    </row>
    <row r="85" ht="47.5" customHeight="1" s="33">
      <c r="A85" s="71" t="inlineStr">
        <is>
          <t>CP-084</t>
        </is>
      </c>
      <c r="B85" s="71" t="inlineStr">
        <is>
          <t>HU-26</t>
        </is>
      </c>
      <c r="C85" s="71" t="inlineStr">
        <is>
          <t>RQ-HU26-02</t>
        </is>
      </c>
      <c r="D85" s="71" t="inlineStr">
        <is>
          <t>Negativa</t>
        </is>
      </c>
      <c r="E85" s="71" t="inlineStr">
        <is>
          <t>Media</t>
        </is>
      </c>
      <c r="F85" s="71" t="inlineStr">
        <is>
          <t>Cliente Final (cliente@pangea-dev.com)</t>
        </is>
      </c>
      <c r="G85" s="71" t="inlineStr">
        <is>
          <t>Drawer abierto sin selección</t>
        </is>
      </c>
      <c r="H85" s="71" t="inlineStr">
        <is>
          <t>1. Ver «Agregar al panel». 2. Marcar una ubicación.</t>
        </is>
      </c>
      <c r="I85" s="71" t="inlineStr">
        <is>
          <t>Sin selección / 1 selección</t>
        </is>
      </c>
      <c r="J85" s="71" t="inlineStr">
        <is>
          <t>Deshabilitado sin selección y habilitado con «Agregar al panel (1)»</t>
        </is>
      </c>
      <c r="K85" s="82" t="inlineStr">
        <is>
          <t>Comportamiento esperado</t>
        </is>
      </c>
      <c r="L85" s="83" t="inlineStr">
        <is>
          <t>Aprobado</t>
        </is>
      </c>
      <c r="M85" s="82" t="inlineStr">
        <is>
          <t>—</t>
        </is>
      </c>
      <c r="N85" s="82" t="inlineStr">
        <is>
          <t>EV-CP-084</t>
        </is>
      </c>
      <c r="O85" s="82" t="inlineStr">
        <is>
          <t>QA</t>
        </is>
      </c>
      <c r="P85" s="82" t="inlineStr">
        <is>
          <t>30/10/2026</t>
        </is>
      </c>
      <c r="Q85" s="71" t="inlineStr">
        <is>
          <t>hu26.spec.mjs · CA2 sin selección el botón AGREGAR AL PANEL está deshabilitado</t>
        </is>
      </c>
      <c r="R85" s="71" t="inlineStr">
        <is>
          <t>Local</t>
        </is>
      </c>
      <c r="S85" s="71" t="inlineStr">
        <is>
          <t>c4fadff (qa-elliot)</t>
        </is>
      </c>
    </row>
    <row r="86" ht="47.5" customHeight="1" s="33">
      <c r="A86" s="71" t="inlineStr">
        <is>
          <t>CP-085</t>
        </is>
      </c>
      <c r="B86" s="71" t="inlineStr">
        <is>
          <t>HU-26</t>
        </is>
      </c>
      <c r="C86" s="71" t="inlineStr">
        <is>
          <t>RQ-HU26-03</t>
        </is>
      </c>
      <c r="D86" s="71" t="inlineStr">
        <is>
          <t>Funcional</t>
        </is>
      </c>
      <c r="E86" s="71" t="inlineStr">
        <is>
          <t>Alta</t>
        </is>
      </c>
      <c r="F86" s="71" t="inlineStr">
        <is>
          <t>Cliente Final (cliente@pangea-dev.com)</t>
        </is>
      </c>
      <c r="G86" s="71" t="inlineStr">
        <is>
          <t>Selección de Río Rímac (con telemetría pH 7.42 y temp. 18.6)</t>
        </is>
      </c>
      <c r="H86" s="71" t="inlineStr">
        <is>
          <t>1. Pulsar «Agregar al panel».</t>
        </is>
      </c>
      <c r="I86" s="71" t="inlineStr">
        <is>
          <t>1 ubicación con lecturas</t>
        </is>
      </c>
      <c r="J86" s="71" t="inlineStr">
        <is>
          <t>Mensaje «Ubicaciones añadidas correctamente» y tarjeta con nombre, última lectura y valores</t>
        </is>
      </c>
      <c r="K86" s="82" t="inlineStr">
        <is>
          <t>Mensaje exacto; tarjeta con pH 7.42 y temperatura 18.6</t>
        </is>
      </c>
      <c r="L86" s="83" t="inlineStr">
        <is>
          <t>Aprobado</t>
        </is>
      </c>
      <c r="M86" s="82" t="inlineStr">
        <is>
          <t>—</t>
        </is>
      </c>
      <c r="N86" s="82" t="inlineStr">
        <is>
          <t>EV-CP-085</t>
        </is>
      </c>
      <c r="O86" s="82" t="inlineStr">
        <is>
          <t>QA</t>
        </is>
      </c>
      <c r="P86" s="82" t="inlineStr">
        <is>
          <t>30/10/2026</t>
        </is>
      </c>
      <c r="Q86" s="71" t="inlineStr">
        <is>
          <t>hu26.spec.mjs · CA2/CA3 agregar muestra el mensaje y la tarjeta con nombre y últimos valores</t>
        </is>
      </c>
      <c r="R86" s="71" t="inlineStr">
        <is>
          <t>Local</t>
        </is>
      </c>
      <c r="S86" s="71" t="inlineStr">
        <is>
          <t>c4fadff (qa-elliot)</t>
        </is>
      </c>
    </row>
    <row r="87" ht="47.5" customHeight="1" s="33">
      <c r="A87" s="71" t="inlineStr">
        <is>
          <t>CP-086</t>
        </is>
      </c>
      <c r="B87" s="71" t="inlineStr">
        <is>
          <t>HU-26</t>
        </is>
      </c>
      <c r="C87" s="71" t="inlineStr">
        <is>
          <t>RQ-HU26-02</t>
        </is>
      </c>
      <c r="D87" s="71" t="inlineStr">
        <is>
          <t>Negativa</t>
        </is>
      </c>
      <c r="E87" s="71" t="inlineStr">
        <is>
          <t>Alta</t>
        </is>
      </c>
      <c r="F87" s="71" t="inlineStr">
        <is>
          <t>Cliente Final (cliente@pangea-dev.com)</t>
        </is>
      </c>
      <c r="G87" s="71" t="inlineStr">
        <is>
          <t>Río Rímac ya en el panel</t>
        </is>
      </c>
      <c r="H87" s="71" t="inlineStr">
        <is>
          <t>1. Reabrir el selector. 2. Añadir la otra. 3. Reabrir.</t>
        </is>
      </c>
      <c r="I87" s="71" t="inlineStr">
        <is>
          <t>2 asignadas</t>
        </is>
      </c>
      <c r="J87" s="71" t="inlineStr">
        <is>
          <t>La ya añadida no vuelve a ofrecerse; al añadir ambas: «No hay más ubicaciones disponibles.»</t>
        </is>
      </c>
      <c r="K87" s="82" t="inlineStr">
        <is>
          <t>Comportamiento esperado</t>
        </is>
      </c>
      <c r="L87" s="83" t="inlineStr">
        <is>
          <t>Aprobado</t>
        </is>
      </c>
      <c r="M87" s="82" t="inlineStr">
        <is>
          <t>—</t>
        </is>
      </c>
      <c r="N87" s="82" t="inlineStr">
        <is>
          <t>EV-CP-086</t>
        </is>
      </c>
      <c r="O87" s="82" t="inlineStr">
        <is>
          <t>QA</t>
        </is>
      </c>
      <c r="P87" s="82" t="inlineStr">
        <is>
          <t>30/10/2026</t>
        </is>
      </c>
      <c r="Q87" s="71" t="inlineStr">
        <is>
          <t>hu26.spec.mjs · CA2 sin duplicados: la ubicación ya añadida no vuelve a ofrecerse</t>
        </is>
      </c>
      <c r="R87" s="71" t="inlineStr">
        <is>
          <t>Local</t>
        </is>
      </c>
      <c r="S87" s="71" t="inlineStr">
        <is>
          <t>c4fadff (qa-elliot)</t>
        </is>
      </c>
    </row>
    <row r="88" ht="47.5" customHeight="1" s="33">
      <c r="A88" s="71" t="inlineStr">
        <is>
          <t>CP-087</t>
        </is>
      </c>
      <c r="B88" s="71" t="inlineStr">
        <is>
          <t>HU-26</t>
        </is>
      </c>
      <c r="C88" s="71" t="inlineStr">
        <is>
          <t>RQ-HU26-04</t>
        </is>
      </c>
      <c r="D88" s="71" t="inlineStr">
        <is>
          <t>Funcional</t>
        </is>
      </c>
      <c r="E88" s="71" t="inlineStr">
        <is>
          <t>Media</t>
        </is>
      </c>
      <c r="F88" s="71" t="inlineStr">
        <is>
          <t>Cliente Final (cliente@pangea-dev.com)</t>
        </is>
      </c>
      <c r="G88" s="71" t="inlineStr">
        <is>
          <t>2 ubicaciones en el panel</t>
        </is>
      </c>
      <c r="H88" s="71" t="inlineStr">
        <is>
          <t>1. «Quitar del panel». 2. Cancelar.</t>
        </is>
      </c>
      <c r="I88" s="71" t="inlineStr">
        <is>
          <t>Planta de Tratamiento</t>
        </is>
      </c>
      <c r="J88" s="71" t="inlineStr">
        <is>
          <t>Modal con aviso de telemetría conservada; Cancelar no retira</t>
        </is>
      </c>
      <c r="K88" s="82" t="inlineStr">
        <is>
          <t>Comportamiento esperado</t>
        </is>
      </c>
      <c r="L88" s="83" t="inlineStr">
        <is>
          <t>Aprobado</t>
        </is>
      </c>
      <c r="M88" s="82" t="inlineStr">
        <is>
          <t>—</t>
        </is>
      </c>
      <c r="N88" s="82" t="inlineStr">
        <is>
          <t>EV-CP-087</t>
        </is>
      </c>
      <c r="O88" s="82" t="inlineStr">
        <is>
          <t>QA</t>
        </is>
      </c>
      <c r="P88" s="82" t="inlineStr">
        <is>
          <t>30/10/2026</t>
        </is>
      </c>
      <c r="Q88" s="71" t="inlineStr">
        <is>
          <t>hu26.spec.mjs · CA4 cancelar el modal de Quitar no retira la ubicación</t>
        </is>
      </c>
      <c r="R88" s="71" t="inlineStr">
        <is>
          <t>Local</t>
        </is>
      </c>
      <c r="S88" s="71" t="inlineStr">
        <is>
          <t>c4fadff (qa-elliot)</t>
        </is>
      </c>
    </row>
    <row r="89" ht="47.5" customHeight="1" s="33">
      <c r="A89" s="71" t="inlineStr">
        <is>
          <t>CP-088</t>
        </is>
      </c>
      <c r="B89" s="71" t="inlineStr">
        <is>
          <t>HU-26</t>
        </is>
      </c>
      <c r="C89" s="71" t="inlineStr">
        <is>
          <t>RQ-HU26-04</t>
        </is>
      </c>
      <c r="D89" s="71" t="inlineStr">
        <is>
          <t>Funcional</t>
        </is>
      </c>
      <c r="E89" s="71" t="inlineStr">
        <is>
          <t>Alta</t>
        </is>
      </c>
      <c r="F89" s="71" t="inlineStr">
        <is>
          <t>Cliente Final (cliente@pangea-dev.com)</t>
        </is>
      </c>
      <c r="G89" s="71" t="inlineStr">
        <is>
          <t>2 ubicaciones en el panel</t>
        </is>
      </c>
      <c r="H89" s="71" t="inlineStr">
        <is>
          <t>1. «Quitar del panel» en Río Rímac. 2. Confirmar. 3. Volver a añadirla.</t>
        </is>
      </c>
      <c r="I89" s="71" t="inlineStr">
        <is>
          <t>Río Rímac con lecturas</t>
        </is>
      </c>
      <c r="J89" s="71" t="inlineStr">
        <is>
          <t>MSG «Ubicación retirada del panel»; desaparece la tarjeta; al re-añadir recupera sus valores</t>
        </is>
      </c>
      <c r="K89" s="82" t="inlineStr">
        <is>
          <t>Mensaje exacto; lecturas intactas</t>
        </is>
      </c>
      <c r="L89" s="83" t="inlineStr">
        <is>
          <t>Aprobado</t>
        </is>
      </c>
      <c r="M89" s="82" t="inlineStr">
        <is>
          <t>—</t>
        </is>
      </c>
      <c r="N89" s="82" t="inlineStr">
        <is>
          <t>EV-CP-088</t>
        </is>
      </c>
      <c r="O89" s="82" t="inlineStr">
        <is>
          <t>QA</t>
        </is>
      </c>
      <c r="P89" s="82" t="inlineStr">
        <is>
          <t>30/10/2026</t>
        </is>
      </c>
      <c r="Q89" s="71" t="inlineStr">
        <is>
          <t>hu26.spec.mjs · CA4 quitar retira la ubicación y muestra el mensaje; la telemetría sigue</t>
        </is>
      </c>
      <c r="R89" s="71" t="inlineStr">
        <is>
          <t>Local</t>
        </is>
      </c>
      <c r="S89" s="71" t="inlineStr">
        <is>
          <t>c4fadff (qa-elliot)</t>
        </is>
      </c>
    </row>
    <row r="90" ht="47.5" customHeight="1" s="33">
      <c r="A90" s="71" t="inlineStr">
        <is>
          <t>CP-089</t>
        </is>
      </c>
      <c r="B90" s="71" t="inlineStr">
        <is>
          <t>HU-26</t>
        </is>
      </c>
      <c r="C90" s="71" t="inlineStr">
        <is>
          <t>RQ-HU26-02</t>
        </is>
      </c>
      <c r="D90" s="71" t="inlineStr">
        <is>
          <t>Funcional</t>
        </is>
      </c>
      <c r="E90" s="71" t="inlineStr">
        <is>
          <t>Media</t>
        </is>
      </c>
      <c r="F90" s="71" t="inlineStr">
        <is>
          <t>Cliente Final (cliente@pangea-dev.com)</t>
        </is>
      </c>
      <c r="G90" s="71" t="inlineStr">
        <is>
          <t>Panel con 2 ubicaciones</t>
        </is>
      </c>
      <c r="H90" s="71" t="inlineStr">
        <is>
          <t>1. Recargar la página.</t>
        </is>
      </c>
      <c r="I90" s="71" t="inlineStr">
        <is>
          <t>Recarga</t>
        </is>
      </c>
      <c r="J90" s="71" t="inlineStr">
        <is>
          <t>Las ubicaciones siguen en el panel</t>
        </is>
      </c>
      <c r="K90" s="82" t="inlineStr">
        <is>
          <t>Ambas tarjetas visibles</t>
        </is>
      </c>
      <c r="L90" s="83" t="inlineStr">
        <is>
          <t>Aprobado</t>
        </is>
      </c>
      <c r="M90" s="82" t="inlineStr">
        <is>
          <t>—</t>
        </is>
      </c>
      <c r="N90" s="82" t="inlineStr">
        <is>
          <t>EV-CP-089</t>
        </is>
      </c>
      <c r="O90" s="82" t="inlineStr">
        <is>
          <t>QA</t>
        </is>
      </c>
      <c r="P90" s="82" t="inlineStr">
        <is>
          <t>30/10/2026</t>
        </is>
      </c>
      <c r="Q90" s="71" t="inlineStr">
        <is>
          <t>hu26.spec.mjs · persistencia: al recargar el panel conserva las ubicaciones</t>
        </is>
      </c>
      <c r="R90" s="71" t="inlineStr">
        <is>
          <t>Local</t>
        </is>
      </c>
      <c r="S90" s="71" t="inlineStr">
        <is>
          <t>c4fadff (qa-elliot)</t>
        </is>
      </c>
    </row>
    <row r="91" ht="47.5" customHeight="1" s="33">
      <c r="A91" s="71" t="inlineStr">
        <is>
          <t>CP-090</t>
        </is>
      </c>
      <c r="B91" s="71" t="inlineStr">
        <is>
          <t>HU-34</t>
        </is>
      </c>
      <c r="C91" s="71" t="inlineStr">
        <is>
          <t>RQ-HU34-01</t>
        </is>
      </c>
      <c r="D91" s="71" t="inlineStr">
        <is>
          <t>Funcional</t>
        </is>
      </c>
      <c r="E91" s="71" t="inlineStr">
        <is>
          <t>Alta</t>
        </is>
      </c>
      <c r="F91" s="71" t="inlineStr">
        <is>
          <t>Cliente Final</t>
        </is>
      </c>
      <c r="G91" s="71" t="inlineStr">
        <is>
          <t>Panel propio con 2 ubicaciones añadidas (HU-26), 1 asignada sin añadir, 2 parámetros numéricos y 1 de texto</t>
        </is>
      </c>
      <c r="H91" s="71" t="inlineStr">
        <is>
          <t>1. POST /paneles/{id}/widgets con tp=linea.</t>
        </is>
      </c>
      <c r="I91" s="71" t="inlineStr">
        <is>
          <t>tp=linea</t>
        </is>
      </c>
      <c r="J91" s="71" t="inlineStr">
        <is>
          <t>201 y el widget queda con tipo línea</t>
        </is>
      </c>
      <c r="K91" s="82" t="inlineStr">
        <is>
          <t>201, tp=linea</t>
        </is>
      </c>
      <c r="L91" s="83" t="inlineStr">
        <is>
          <t>Aprobado</t>
        </is>
      </c>
      <c r="M91" s="82" t="inlineStr">
        <is>
          <t>—</t>
        </is>
      </c>
      <c r="N91" s="82" t="inlineStr">
        <is>
          <t>EV-CP-090</t>
        </is>
      </c>
      <c r="O91" s="82" t="inlineStr">
        <is>
          <t>QA</t>
        </is>
      </c>
      <c r="P91" s="82" t="inlineStr">
        <is>
          <t>30/10/2026</t>
        </is>
      </c>
      <c r="Q91" s="71" t="inlineStr">
        <is>
          <t>qa/03_Evidencias/HU34/test_hu34_qa.py::test_ca1_cada_tipo_v1_se_puede_crear[linea]</t>
        </is>
      </c>
      <c r="R91" s="71" t="inlineStr">
        <is>
          <t>Local</t>
        </is>
      </c>
      <c r="S91" s="71" t="inlineStr">
        <is>
          <t>c152f39 (qa-elliot)</t>
        </is>
      </c>
    </row>
    <row r="92" ht="47.5" customHeight="1" s="33">
      <c r="A92" s="71" t="inlineStr">
        <is>
          <t>CP-091</t>
        </is>
      </c>
      <c r="B92" s="71" t="inlineStr">
        <is>
          <t>HU-34</t>
        </is>
      </c>
      <c r="C92" s="71" t="inlineStr">
        <is>
          <t>RQ-HU34-01</t>
        </is>
      </c>
      <c r="D92" s="71" t="inlineStr">
        <is>
          <t>Funcional</t>
        </is>
      </c>
      <c r="E92" s="71" t="inlineStr">
        <is>
          <t>Alta</t>
        </is>
      </c>
      <c r="F92" s="71" t="inlineStr">
        <is>
          <t>Cliente Final</t>
        </is>
      </c>
      <c r="G92" s="71" t="inlineStr">
        <is>
          <t>Panel propio con 2 ubicaciones añadidas (HU-26), 1 asignada sin añadir, 2 parámetros numéricos y 1 de texto</t>
        </is>
      </c>
      <c r="H92" s="71" t="inlineStr">
        <is>
          <t>1. POST /widgets con tp=area.</t>
        </is>
      </c>
      <c r="I92" s="71" t="inlineStr">
        <is>
          <t>tp=area</t>
        </is>
      </c>
      <c r="J92" s="71" t="inlineStr">
        <is>
          <t>201 y el widget queda con tipo área</t>
        </is>
      </c>
      <c r="K92" s="82" t="inlineStr">
        <is>
          <t>201, tp=area</t>
        </is>
      </c>
      <c r="L92" s="83" t="inlineStr">
        <is>
          <t>Aprobado</t>
        </is>
      </c>
      <c r="M92" s="82" t="inlineStr">
        <is>
          <t>—</t>
        </is>
      </c>
      <c r="N92" s="82" t="inlineStr">
        <is>
          <t>EV-CP-091</t>
        </is>
      </c>
      <c r="O92" s="82" t="inlineStr">
        <is>
          <t>QA</t>
        </is>
      </c>
      <c r="P92" s="82" t="inlineStr">
        <is>
          <t>30/10/2026</t>
        </is>
      </c>
      <c r="Q92" s="71" t="inlineStr">
        <is>
          <t>qa/03_Evidencias/HU34/test_hu34_qa.py::test_ca1_cada_tipo_v1_se_puede_crear[area]</t>
        </is>
      </c>
      <c r="R92" s="71" t="inlineStr">
        <is>
          <t>Local</t>
        </is>
      </c>
      <c r="S92" s="71" t="inlineStr">
        <is>
          <t>c152f39 (qa-elliot)</t>
        </is>
      </c>
    </row>
    <row r="93" ht="47.5" customHeight="1" s="33">
      <c r="A93" s="71" t="inlineStr">
        <is>
          <t>CP-092</t>
        </is>
      </c>
      <c r="B93" s="71" t="inlineStr">
        <is>
          <t>HU-34</t>
        </is>
      </c>
      <c r="C93" s="71" t="inlineStr">
        <is>
          <t>RQ-HU34-01</t>
        </is>
      </c>
      <c r="D93" s="71" t="inlineStr">
        <is>
          <t>Funcional</t>
        </is>
      </c>
      <c r="E93" s="71" t="inlineStr">
        <is>
          <t>Alta</t>
        </is>
      </c>
      <c r="F93" s="71" t="inlineStr">
        <is>
          <t>Cliente Final</t>
        </is>
      </c>
      <c r="G93" s="71" t="inlineStr">
        <is>
          <t>Panel propio con 2 ubicaciones añadidas (HU-26), 1 asignada sin añadir, 2 parámetros numéricos y 1 de texto</t>
        </is>
      </c>
      <c r="H93" s="71" t="inlineStr">
        <is>
          <t>1. POST /widgets con tp=tarjeta.</t>
        </is>
      </c>
      <c r="I93" s="71" t="inlineStr">
        <is>
          <t>tp=tarjeta</t>
        </is>
      </c>
      <c r="J93" s="71" t="inlineStr">
        <is>
          <t>201 y el widget queda con tipo tarjeta</t>
        </is>
      </c>
      <c r="K93" s="82" t="inlineStr">
        <is>
          <t>201, tp=tarjeta</t>
        </is>
      </c>
      <c r="L93" s="83" t="inlineStr">
        <is>
          <t>Aprobado</t>
        </is>
      </c>
      <c r="M93" s="82" t="inlineStr">
        <is>
          <t>—</t>
        </is>
      </c>
      <c r="N93" s="82" t="inlineStr">
        <is>
          <t>EV-CP-092</t>
        </is>
      </c>
      <c r="O93" s="82" t="inlineStr">
        <is>
          <t>QA</t>
        </is>
      </c>
      <c r="P93" s="82" t="inlineStr">
        <is>
          <t>30/10/2026</t>
        </is>
      </c>
      <c r="Q93" s="71" t="inlineStr">
        <is>
          <t>qa/03_Evidencias/HU34/test_hu34_qa.py::test_ca1_cada_tipo_v1_se_puede_crear[tarjeta]</t>
        </is>
      </c>
      <c r="R93" s="71" t="inlineStr">
        <is>
          <t>Local</t>
        </is>
      </c>
      <c r="S93" s="71" t="inlineStr">
        <is>
          <t>c152f39 (qa-elliot)</t>
        </is>
      </c>
    </row>
    <row r="94" ht="47.5" customHeight="1" s="33">
      <c r="A94" s="71" t="inlineStr">
        <is>
          <t>CP-093</t>
        </is>
      </c>
      <c r="B94" s="71" t="inlineStr">
        <is>
          <t>HU-34</t>
        </is>
      </c>
      <c r="C94" s="71" t="inlineStr">
        <is>
          <t>RQ-HU34-01</t>
        </is>
      </c>
      <c r="D94" s="71" t="inlineStr">
        <is>
          <t>Negativa</t>
        </is>
      </c>
      <c r="E94" s="71" t="inlineStr">
        <is>
          <t>Media</t>
        </is>
      </c>
      <c r="F94" s="71" t="inlineStr">
        <is>
          <t>Cliente Final</t>
        </is>
      </c>
      <c r="G94" s="71" t="inlineStr">
        <is>
          <t>Panel propio con 2 ubicaciones añadidas (HU-26), 1 asignada sin añadir, 2 parámetros numéricos y 1 de texto</t>
        </is>
      </c>
      <c r="H94" s="71" t="inlineStr">
        <is>
          <t>1. POST /widgets con tp medidor, vacío y LINEA.</t>
        </is>
      </c>
      <c r="I94" s="71" t="inlineStr">
        <is>
          <t>Tipos fuera del catálogo</t>
        </is>
      </c>
      <c r="J94" s="71" t="inlineStr">
        <is>
          <t>422 en los 3; no se crea nada</t>
        </is>
      </c>
      <c r="K94" s="82" t="inlineStr">
        <is>
          <t>422, 422, 422</t>
        </is>
      </c>
      <c r="L94" s="83" t="inlineStr">
        <is>
          <t>Aprobado</t>
        </is>
      </c>
      <c r="M94" s="82" t="inlineStr">
        <is>
          <t>—</t>
        </is>
      </c>
      <c r="N94" s="82" t="inlineStr">
        <is>
          <t>EV-CP-093</t>
        </is>
      </c>
      <c r="O94" s="82" t="inlineStr">
        <is>
          <t>QA</t>
        </is>
      </c>
      <c r="P94" s="82" t="inlineStr">
        <is>
          <t>30/10/2026</t>
        </is>
      </c>
      <c r="Q94" s="71" t="inlineStr">
        <is>
          <t>qa/03_Evidencias/HU34/test_hu34_qa.py::test_ca1_tipo_fuera_del_catalogo_se_rechaza</t>
        </is>
      </c>
      <c r="R94" s="71" t="inlineStr">
        <is>
          <t>Local</t>
        </is>
      </c>
      <c r="S94" s="71" t="inlineStr">
        <is>
          <t>c152f39 (qa-elliot)</t>
        </is>
      </c>
    </row>
    <row r="95" ht="47.5" customHeight="1" s="33">
      <c r="A95" s="71" t="inlineStr">
        <is>
          <t>CP-094</t>
        </is>
      </c>
      <c r="B95" s="71" t="inlineStr">
        <is>
          <t>HU-34</t>
        </is>
      </c>
      <c r="C95" s="71" t="inlineStr">
        <is>
          <t>RQ-HU34-01</t>
        </is>
      </c>
      <c r="D95" s="71" t="inlineStr">
        <is>
          <t>Funcional</t>
        </is>
      </c>
      <c r="E95" s="71" t="inlineStr">
        <is>
          <t>Baja</t>
        </is>
      </c>
      <c r="F95" s="71" t="inlineStr">
        <is>
          <t>Cliente Final</t>
        </is>
      </c>
      <c r="G95" s="71" t="inlineStr">
        <is>
          <t>Panel propio con 2 ubicaciones añadidas (HU-26), 1 asignada sin añadir, 2 parámetros numéricos y 1 de texto</t>
        </is>
      </c>
      <c r="H95" s="71" t="inlineStr">
        <is>
          <t>1. POST /widgets con tp=tabla.</t>
        </is>
      </c>
      <c r="I95" s="71" t="inlineStr">
        <is>
          <t>tp=tabla</t>
        </is>
      </c>
      <c r="J95" s="71" t="inlineStr">
        <is>
          <t>Observación: la HU fija 3 tipos en v1.0; se comprueba si el backend acepta un 4.º</t>
        </is>
      </c>
      <c r="K95" s="82" t="inlineStr">
        <is>
          <t>201: acepta «tabla» (ver OBS-19)</t>
        </is>
      </c>
      <c r="L95" s="83" t="inlineStr">
        <is>
          <t>Aprobado</t>
        </is>
      </c>
      <c r="M95" s="82" t="inlineStr">
        <is>
          <t>—</t>
        </is>
      </c>
      <c r="N95" s="82" t="inlineStr">
        <is>
          <t>EV-CP-094</t>
        </is>
      </c>
      <c r="O95" s="82" t="inlineStr">
        <is>
          <t>QA</t>
        </is>
      </c>
      <c r="P95" s="82" t="inlineStr">
        <is>
          <t>30/10/2026</t>
        </is>
      </c>
      <c r="Q95" s="71" t="inlineStr">
        <is>
          <t>qa/03_Evidencias/HU34/test_hu34_qa.py::test_obs_backend_acepta_tipo_tabla_fuera_de_v1</t>
        </is>
      </c>
      <c r="R95" s="71" t="inlineStr">
        <is>
          <t>Local</t>
        </is>
      </c>
      <c r="S95" s="71" t="inlineStr">
        <is>
          <t>c152f39 (qa-elliot)</t>
        </is>
      </c>
    </row>
    <row r="96" ht="47.5" customHeight="1" s="33">
      <c r="A96" s="71" t="inlineStr">
        <is>
          <t>CP-095</t>
        </is>
      </c>
      <c r="B96" s="71" t="inlineStr">
        <is>
          <t>HU-34</t>
        </is>
      </c>
      <c r="C96" s="71" t="inlineStr">
        <is>
          <t>RQ-HU34-02</t>
        </is>
      </c>
      <c r="D96" s="71" t="inlineStr">
        <is>
          <t>Funcional</t>
        </is>
      </c>
      <c r="E96" s="71" t="inlineStr">
        <is>
          <t>Alta</t>
        </is>
      </c>
      <c r="F96" s="71" t="inlineStr">
        <is>
          <t>Cliente Final</t>
        </is>
      </c>
      <c r="G96" s="71" t="inlineStr">
        <is>
          <t>Panel propio con 2 ubicaciones añadidas (HU-26), 1 asignada sin añadir, 2 parámetros numéricos y 1 de texto</t>
        </is>
      </c>
      <c r="H96" s="71" t="inlineStr">
        <is>
          <t>1. POST /widgets tipo área con QA Temperatura en la 1.ª ubicación.</t>
        </is>
      </c>
      <c r="I96" s="71" t="inlineStr">
        <is>
          <t>tp=area, parámetro °C</t>
        </is>
      </c>
      <c r="J96" s="71" t="inlineStr">
        <is>
          <t>201, MSG «Widget creado correctamente», tipo, parámetro, ubicación, nombre y unidad</t>
        </is>
      </c>
      <c r="K96" s="82" t="inlineStr">
        <is>
          <t>201, mensaje exacto y configuración completa</t>
        </is>
      </c>
      <c r="L96" s="83" t="inlineStr">
        <is>
          <t>Aprobado</t>
        </is>
      </c>
      <c r="M96" s="82" t="inlineStr">
        <is>
          <t>—</t>
        </is>
      </c>
      <c r="N96" s="82" t="inlineStr">
        <is>
          <t>EV-CP-095</t>
        </is>
      </c>
      <c r="O96" s="82" t="inlineStr">
        <is>
          <t>QA</t>
        </is>
      </c>
      <c r="P96" s="82" t="inlineStr">
        <is>
          <t>30/10/2026</t>
        </is>
      </c>
      <c r="Q96" s="71" t="inlineStr">
        <is>
          <t>qa/03_Evidencias/HU34/test_hu34_qa.py::test_ca2_guardar_devuelve_mensaje_y_configuracion</t>
        </is>
      </c>
      <c r="R96" s="71" t="inlineStr">
        <is>
          <t>Local</t>
        </is>
      </c>
      <c r="S96" s="71" t="inlineStr">
        <is>
          <t>c152f39 (qa-elliot)</t>
        </is>
      </c>
    </row>
    <row r="97" ht="47.5" customHeight="1" s="33">
      <c r="A97" s="71" t="inlineStr">
        <is>
          <t>CP-096</t>
        </is>
      </c>
      <c r="B97" s="71" t="inlineStr">
        <is>
          <t>HU-34</t>
        </is>
      </c>
      <c r="C97" s="71" t="inlineStr">
        <is>
          <t>RQ-HU34-02</t>
        </is>
      </c>
      <c r="D97" s="71" t="inlineStr">
        <is>
          <t>Funcional</t>
        </is>
      </c>
      <c r="E97" s="71" t="inlineStr">
        <is>
          <t>Alta</t>
        </is>
      </c>
      <c r="F97" s="71" t="inlineStr">
        <is>
          <t>Cliente Final</t>
        </is>
      </c>
      <c r="G97" s="71" t="inlineStr">
        <is>
          <t>Panel propio con 2 ubicaciones añadidas (HU-26), 1 asignada sin añadir, 2 parámetros numéricos y 1 de texto</t>
        </is>
      </c>
      <c r="H97" s="71" t="inlineStr">
        <is>
          <t>1. Crear widget. 2. GET /paneles/{id}/contenido.</t>
        </is>
      </c>
      <c r="I97" s="71" t="inlineStr">
        <is>
          <t>1 widget</t>
        </is>
      </c>
      <c r="J97" s="71" t="inlineStr">
        <is>
          <t>El widget aparece en el contenido del panel</t>
        </is>
      </c>
      <c r="K97" s="82" t="inlineStr">
        <is>
          <t>Contenido con el widget creado</t>
        </is>
      </c>
      <c r="L97" s="83" t="inlineStr">
        <is>
          <t>Aprobado</t>
        </is>
      </c>
      <c r="M97" s="82" t="inlineStr">
        <is>
          <t>—</t>
        </is>
      </c>
      <c r="N97" s="82" t="inlineStr">
        <is>
          <t>EV-CP-096</t>
        </is>
      </c>
      <c r="O97" s="82" t="inlineStr">
        <is>
          <t>QA</t>
        </is>
      </c>
      <c r="P97" s="82" t="inlineStr">
        <is>
          <t>30/10/2026</t>
        </is>
      </c>
      <c r="Q97" s="71" t="inlineStr">
        <is>
          <t>qa/03_Evidencias/HU34/test_hu34_qa.py::test_ca2_widget_queda_en_el_contenido_del_panel</t>
        </is>
      </c>
      <c r="R97" s="71" t="inlineStr">
        <is>
          <t>Local</t>
        </is>
      </c>
      <c r="S97" s="71" t="inlineStr">
        <is>
          <t>c152f39 (qa-elliot)</t>
        </is>
      </c>
    </row>
    <row r="98" ht="47.5" customHeight="1" s="33">
      <c r="A98" s="71" t="inlineStr">
        <is>
          <t>CP-097</t>
        </is>
      </c>
      <c r="B98" s="71" t="inlineStr">
        <is>
          <t>HU-34</t>
        </is>
      </c>
      <c r="C98" s="71" t="inlineStr">
        <is>
          <t>RQ-HU34-02</t>
        </is>
      </c>
      <c r="D98" s="71" t="inlineStr">
        <is>
          <t>Funcional</t>
        </is>
      </c>
      <c r="E98" s="71" t="inlineStr">
        <is>
          <t>Alta</t>
        </is>
      </c>
      <c r="F98" s="71" t="inlineStr">
        <is>
          <t>Cliente Final</t>
        </is>
      </c>
      <c r="G98" s="71" t="inlineStr">
        <is>
          <t>Ubicación con dispositivo y 3 lecturas de QA Temperatura</t>
        </is>
      </c>
      <c r="H98" s="71" t="inlineStr">
        <is>
          <t>1. Crear tarjeta. 2. GET /contenido.</t>
        </is>
      </c>
      <c r="I98" s="71" t="inlineStr">
        <is>
          <t>3 lecturas (20, 21, 22)</t>
        </is>
      </c>
      <c r="J98" s="71" t="inlineStr">
        <is>
          <t>La ubicación del widget trae el último valor del parámetro (20)</t>
        </is>
      </c>
      <c r="K98" s="82" t="inlineStr">
        <is>
          <t>Último valor 20.0</t>
        </is>
      </c>
      <c r="L98" s="83" t="inlineStr">
        <is>
          <t>Aprobado</t>
        </is>
      </c>
      <c r="M98" s="82" t="inlineStr">
        <is>
          <t>—</t>
        </is>
      </c>
      <c r="N98" s="82" t="inlineStr">
        <is>
          <t>EV-CP-097</t>
        </is>
      </c>
      <c r="O98" s="82" t="inlineStr">
        <is>
          <t>QA</t>
        </is>
      </c>
      <c r="P98" s="82" t="inlineStr">
        <is>
          <t>30/10/2026</t>
        </is>
      </c>
      <c r="Q98" s="71" t="inlineStr">
        <is>
          <t>qa/03_Evidencias/HU34/test_hu34_qa.py::test_ca2_ubicacion_del_widget_trae_valor_de_telemetria_del_parametro</t>
        </is>
      </c>
      <c r="R98" s="71" t="inlineStr">
        <is>
          <t>Local</t>
        </is>
      </c>
      <c r="S98" s="71" t="inlineStr">
        <is>
          <t>c152f39 (qa-elliot)</t>
        </is>
      </c>
    </row>
    <row r="99" ht="47.5" customHeight="1" s="33">
      <c r="A99" s="71" t="inlineStr">
        <is>
          <t>CP-098</t>
        </is>
      </c>
      <c r="B99" s="71" t="inlineStr">
        <is>
          <t>HU-34</t>
        </is>
      </c>
      <c r="C99" s="71" t="inlineStr">
        <is>
          <t>RQ-HU34-02</t>
        </is>
      </c>
      <c r="D99" s="71" t="inlineStr">
        <is>
          <t>Funcional</t>
        </is>
      </c>
      <c r="E99" s="71" t="inlineStr">
        <is>
          <t>Media</t>
        </is>
      </c>
      <c r="F99" s="71" t="inlineStr">
        <is>
          <t>Cliente Final</t>
        </is>
      </c>
      <c r="G99" s="71" t="inlineStr">
        <is>
          <t>Panel propio con 2 ubicaciones añadidas (HU-26), 1 asignada sin añadir, 2 parámetros numéricos y 1 de texto</t>
        </is>
      </c>
      <c r="H99" s="71" t="inlineStr">
        <is>
          <t>1. Crear widget con QA pH en la 2.ª ubicación añadida.</t>
        </is>
      </c>
      <c r="I99" s="71" t="inlineStr">
        <is>
          <t>Otra ubicación y parámetro</t>
        </is>
      </c>
      <c r="J99" s="71" t="inlineStr">
        <is>
          <t>201 con esa ubicación y ese parámetro</t>
        </is>
      </c>
      <c r="K99" s="82" t="inlineStr">
        <is>
          <t>201, ubicación y parámetro correctos</t>
        </is>
      </c>
      <c r="L99" s="83" t="inlineStr">
        <is>
          <t>Aprobado</t>
        </is>
      </c>
      <c r="M99" s="82" t="inlineStr">
        <is>
          <t>—</t>
        </is>
      </c>
      <c r="N99" s="82" t="inlineStr">
        <is>
          <t>EV-CP-098</t>
        </is>
      </c>
      <c r="O99" s="82" t="inlineStr">
        <is>
          <t>QA</t>
        </is>
      </c>
      <c r="P99" s="82" t="inlineStr">
        <is>
          <t>30/10/2026</t>
        </is>
      </c>
      <c r="Q99" s="71" t="inlineStr">
        <is>
          <t>qa/03_Evidencias/HU34/test_hu34_qa.py::test_ca2_parametro_y_ubicacion_de_cualquier_ubicacion_anadida</t>
        </is>
      </c>
      <c r="R99" s="71" t="inlineStr">
        <is>
          <t>Local</t>
        </is>
      </c>
      <c r="S99" s="71" t="inlineStr">
        <is>
          <t>c152f39 (qa-elliot)</t>
        </is>
      </c>
    </row>
    <row r="100" ht="47.5" customHeight="1" s="33">
      <c r="A100" s="71" t="inlineStr">
        <is>
          <t>CP-099</t>
        </is>
      </c>
      <c r="B100" s="71" t="inlineStr">
        <is>
          <t>HU-34</t>
        </is>
      </c>
      <c r="C100" s="71" t="inlineStr">
        <is>
          <t>RQ-HU34-02</t>
        </is>
      </c>
      <c r="D100" s="71" t="inlineStr">
        <is>
          <t>Límite</t>
        </is>
      </c>
      <c r="E100" s="71" t="inlineStr">
        <is>
          <t>Media</t>
        </is>
      </c>
      <c r="F100" s="71" t="inlineStr">
        <is>
          <t>Cliente Final</t>
        </is>
      </c>
      <c r="G100" s="71" t="inlineStr">
        <is>
          <t>Panel propio con 2 ubicaciones añadidas (HU-26), 1 asignada sin añadir, 2 parámetros numéricos y 1 de texto</t>
        </is>
      </c>
      <c r="H100" s="71" t="inlineStr">
        <is>
          <t>1. Crear 25 widgets. 2. GET /contenido.</t>
        </is>
      </c>
      <c r="I100" s="71" t="inlineStr">
        <is>
          <t>25 widgets</t>
        </is>
      </c>
      <c r="J100" s="71" t="inlineStr">
        <is>
          <t>Sin límite en v1.0: los 25 se crean con posiciones 0 a 24</t>
        </is>
      </c>
      <c r="K100" s="82" t="inlineStr">
        <is>
          <t>25 creados, posiciones 0..24</t>
        </is>
      </c>
      <c r="L100" s="83" t="inlineStr">
        <is>
          <t>Aprobado</t>
        </is>
      </c>
      <c r="M100" s="82" t="inlineStr">
        <is>
          <t>—</t>
        </is>
      </c>
      <c r="N100" s="82" t="inlineStr">
        <is>
          <t>EV-CP-099</t>
        </is>
      </c>
      <c r="O100" s="82" t="inlineStr">
        <is>
          <t>QA</t>
        </is>
      </c>
      <c r="P100" s="82" t="inlineStr">
        <is>
          <t>30/10/2026</t>
        </is>
      </c>
      <c r="Q100" s="71" t="inlineStr">
        <is>
          <t>qa/03_Evidencias/HU34/test_hu34_qa.py::test_ca2_sin_limite_de_widgets</t>
        </is>
      </c>
      <c r="R100" s="71" t="inlineStr">
        <is>
          <t>Local</t>
        </is>
      </c>
      <c r="S100" s="71" t="inlineStr">
        <is>
          <t>c152f39 (qa-elliot)</t>
        </is>
      </c>
    </row>
    <row r="101" ht="47.5" customHeight="1" s="33">
      <c r="A101" s="71" t="inlineStr">
        <is>
          <t>CP-100</t>
        </is>
      </c>
      <c r="B101" s="71" t="inlineStr">
        <is>
          <t>HU-34</t>
        </is>
      </c>
      <c r="C101" s="71" t="inlineStr">
        <is>
          <t>RQ-HU34-02</t>
        </is>
      </c>
      <c r="D101" s="71" t="inlineStr">
        <is>
          <t>Negativa</t>
        </is>
      </c>
      <c r="E101" s="71" t="inlineStr">
        <is>
          <t>Alta</t>
        </is>
      </c>
      <c r="F101" s="71" t="inlineStr">
        <is>
          <t>Cliente Final</t>
        </is>
      </c>
      <c r="G101" s="71" t="inlineStr">
        <is>
          <t>Panel propio con 2 ubicaciones añadidas (HU-26), 1 asignada sin añadir, 2 parámetros numéricos y 1 de texto</t>
        </is>
      </c>
      <c r="H101" s="71" t="inlineStr">
        <is>
          <t>1. POST /widgets con la ubicación asignada pero no añadida.</t>
        </is>
      </c>
      <c r="I101" s="71" t="inlineStr">
        <is>
          <t>Ubicación fuera del panel</t>
        </is>
      </c>
      <c r="J101" s="71" t="inlineStr">
        <is>
          <t>422 «Añade la ubicación al panel antes de crear el widget»</t>
        </is>
      </c>
      <c r="K101" s="82" t="inlineStr">
        <is>
          <t>422 y mensaje exacto</t>
        </is>
      </c>
      <c r="L101" s="83" t="inlineStr">
        <is>
          <t>Aprobado</t>
        </is>
      </c>
      <c r="M101" s="82" t="inlineStr">
        <is>
          <t>—</t>
        </is>
      </c>
      <c r="N101" s="82" t="inlineStr">
        <is>
          <t>EV-CP-100</t>
        </is>
      </c>
      <c r="O101" s="82" t="inlineStr">
        <is>
          <t>QA</t>
        </is>
      </c>
      <c r="P101" s="82" t="inlineStr">
        <is>
          <t>30/10/2026</t>
        </is>
      </c>
      <c r="Q101" s="71" t="inlineStr">
        <is>
          <t>qa/03_Evidencias/HU34/test_hu34_qa.py::test_err_ubicacion_no_anadida_al_panel_422</t>
        </is>
      </c>
      <c r="R101" s="71" t="inlineStr">
        <is>
          <t>Local</t>
        </is>
      </c>
      <c r="S101" s="71" t="inlineStr">
        <is>
          <t>c152f39 (qa-elliot)</t>
        </is>
      </c>
    </row>
    <row r="102" ht="47.5" customHeight="1" s="33">
      <c r="A102" s="71" t="inlineStr">
        <is>
          <t>CP-101</t>
        </is>
      </c>
      <c r="B102" s="71" t="inlineStr">
        <is>
          <t>HU-34</t>
        </is>
      </c>
      <c r="C102" s="71" t="inlineStr">
        <is>
          <t>RQ-HU34-06</t>
        </is>
      </c>
      <c r="D102" s="71" t="inlineStr">
        <is>
          <t>Seguridad</t>
        </is>
      </c>
      <c r="E102" s="71" t="inlineStr">
        <is>
          <t>Alta</t>
        </is>
      </c>
      <c r="F102" s="71" t="inlineStr">
        <is>
          <t>Cliente Final</t>
        </is>
      </c>
      <c r="G102" s="71" t="inlineStr">
        <is>
          <t>Panel propio con 2 ubicaciones añadidas (HU-26), 1 asignada sin añadir, 2 parámetros numéricos y 1 de texto</t>
        </is>
      </c>
      <c r="H102" s="71" t="inlineStr">
        <is>
          <t>1. POST /widgets con una ubicación sin permiso (HU 21).</t>
        </is>
      </c>
      <c r="I102" s="71" t="inlineStr">
        <is>
          <t>Ubicación no asignada</t>
        </is>
      </c>
      <c r="J102" s="71" t="inlineStr">
        <is>
          <t>404 sin revelar la ubicación</t>
        </is>
      </c>
      <c r="K102" s="82" t="inlineStr">
        <is>
          <t>404</t>
        </is>
      </c>
      <c r="L102" s="83" t="inlineStr">
        <is>
          <t>Aprobado</t>
        </is>
      </c>
      <c r="M102" s="82" t="inlineStr">
        <is>
          <t>—</t>
        </is>
      </c>
      <c r="N102" s="82" t="inlineStr">
        <is>
          <t>EV-CP-101</t>
        </is>
      </c>
      <c r="O102" s="82" t="inlineStr">
        <is>
          <t>QA</t>
        </is>
      </c>
      <c r="P102" s="82" t="inlineStr">
        <is>
          <t>30/10/2026</t>
        </is>
      </c>
      <c r="Q102" s="71" t="inlineStr">
        <is>
          <t>qa/03_Evidencias/HU34/test_hu34_qa.py::test_err_ubicacion_sin_permiso_404</t>
        </is>
      </c>
      <c r="R102" s="71" t="inlineStr">
        <is>
          <t>Local</t>
        </is>
      </c>
      <c r="S102" s="71" t="inlineStr">
        <is>
          <t>c152f39 (qa-elliot)</t>
        </is>
      </c>
    </row>
    <row r="103" ht="47.5" customHeight="1" s="33">
      <c r="A103" s="71" t="inlineStr">
        <is>
          <t>CP-102</t>
        </is>
      </c>
      <c r="B103" s="71" t="inlineStr">
        <is>
          <t>HU-34</t>
        </is>
      </c>
      <c r="C103" s="71" t="inlineStr">
        <is>
          <t>RQ-HU34-02</t>
        </is>
      </c>
      <c r="D103" s="71" t="inlineStr">
        <is>
          <t>Negativa</t>
        </is>
      </c>
      <c r="E103" s="71" t="inlineStr">
        <is>
          <t>Alta</t>
        </is>
      </c>
      <c r="F103" s="71" t="inlineStr">
        <is>
          <t>Cliente Final</t>
        </is>
      </c>
      <c r="G103" s="71" t="inlineStr">
        <is>
          <t>Panel propio con 2 ubicaciones añadidas (HU-26), 1 asignada sin añadir, 2 parámetros numéricos y 1 de texto</t>
        </is>
      </c>
      <c r="H103" s="71" t="inlineStr">
        <is>
          <t>1. POST /widgets con parámetro de texto. 2. Con id 999999.</t>
        </is>
      </c>
      <c r="I103" s="71" t="inlineStr">
        <is>
          <t>Parámetro texto / inexistente</t>
        </is>
      </c>
      <c r="J103" s="71" t="inlineStr">
        <is>
          <t>422 «El widget necesita un parámetro numérico disponible»</t>
        </is>
      </c>
      <c r="K103" s="82" t="inlineStr">
        <is>
          <t>422 y mensaje exacto; 422</t>
        </is>
      </c>
      <c r="L103" s="83" t="inlineStr">
        <is>
          <t>Aprobado</t>
        </is>
      </c>
      <c r="M103" s="82" t="inlineStr">
        <is>
          <t>—</t>
        </is>
      </c>
      <c r="N103" s="82" t="inlineStr">
        <is>
          <t>EV-CP-102</t>
        </is>
      </c>
      <c r="O103" s="82" t="inlineStr">
        <is>
          <t>QA</t>
        </is>
      </c>
      <c r="P103" s="82" t="inlineStr">
        <is>
          <t>30/10/2026</t>
        </is>
      </c>
      <c r="Q103" s="71" t="inlineStr">
        <is>
          <t>qa/03_Evidencias/HU34/test_hu34_qa.py::test_err_parametro_de_texto_o_inexistente_422</t>
        </is>
      </c>
      <c r="R103" s="71" t="inlineStr">
        <is>
          <t>Local</t>
        </is>
      </c>
      <c r="S103" s="71" t="inlineStr">
        <is>
          <t>c152f39 (qa-elliot)</t>
        </is>
      </c>
    </row>
    <row r="104" ht="47.5" customHeight="1" s="33">
      <c r="A104" s="71" t="inlineStr">
        <is>
          <t>CP-103</t>
        </is>
      </c>
      <c r="B104" s="71" t="inlineStr">
        <is>
          <t>HU-34</t>
        </is>
      </c>
      <c r="C104" s="71" t="inlineStr">
        <is>
          <t>RQ-HU34-02</t>
        </is>
      </c>
      <c r="D104" s="71" t="inlineStr">
        <is>
          <t>Negativa</t>
        </is>
      </c>
      <c r="E104" s="71" t="inlineStr">
        <is>
          <t>Media</t>
        </is>
      </c>
      <c r="F104" s="71" t="inlineStr">
        <is>
          <t>Cliente Final</t>
        </is>
      </c>
      <c r="G104" s="71" t="inlineStr">
        <is>
          <t>Panel propio con 2 ubicaciones añadidas (HU-26), 1 asignada sin añadir, 2 parámetros numéricos y 1 de texto</t>
        </is>
      </c>
      <c r="H104" s="71" t="inlineStr">
        <is>
          <t>1. POST /widgets sin tp, sin parámetro, sin ubicación, con id 0 y ancho 3.</t>
        </is>
      </c>
      <c r="I104" s="71" t="inlineStr">
        <is>
          <t>Campos faltantes o fuera de rango</t>
        </is>
      </c>
      <c r="J104" s="71" t="inlineStr">
        <is>
          <t>422 en todos</t>
        </is>
      </c>
      <c r="K104" s="82" t="inlineStr">
        <is>
          <t>422 en los 5</t>
        </is>
      </c>
      <c r="L104" s="83" t="inlineStr">
        <is>
          <t>Aprobado</t>
        </is>
      </c>
      <c r="M104" s="82" t="inlineStr">
        <is>
          <t>—</t>
        </is>
      </c>
      <c r="N104" s="82" t="inlineStr">
        <is>
          <t>EV-CP-103</t>
        </is>
      </c>
      <c r="O104" s="82" t="inlineStr">
        <is>
          <t>QA</t>
        </is>
      </c>
      <c r="P104" s="82" t="inlineStr">
        <is>
          <t>30/10/2026</t>
        </is>
      </c>
      <c r="Q104" s="71" t="inlineStr">
        <is>
          <t>qa/03_Evidencias/HU34/test_hu34_qa.py::test_err_campos_obligatorios_y_rangos_422</t>
        </is>
      </c>
      <c r="R104" s="71" t="inlineStr">
        <is>
          <t>Local</t>
        </is>
      </c>
      <c r="S104" s="71" t="inlineStr">
        <is>
          <t>c152f39 (qa-elliot)</t>
        </is>
      </c>
    </row>
    <row r="105" ht="47.5" customHeight="1" s="33">
      <c r="A105" s="71" t="inlineStr">
        <is>
          <t>CP-104</t>
        </is>
      </c>
      <c r="B105" s="71" t="inlineStr">
        <is>
          <t>HU-34</t>
        </is>
      </c>
      <c r="C105" s="71" t="inlineStr">
        <is>
          <t>RQ-HU34-06</t>
        </is>
      </c>
      <c r="D105" s="71" t="inlineStr">
        <is>
          <t>Negativa</t>
        </is>
      </c>
      <c r="E105" s="71" t="inlineStr">
        <is>
          <t>Media</t>
        </is>
      </c>
      <c r="F105" s="71" t="inlineStr">
        <is>
          <t>Cliente Final</t>
        </is>
      </c>
      <c r="G105" s="71" t="inlineStr">
        <is>
          <t>Panel propio con 2 ubicaciones añadidas (HU-26), 1 asignada sin añadir, 2 parámetros numéricos y 1 de texto</t>
        </is>
      </c>
      <c r="H105" s="71" t="inlineStr">
        <is>
          <t>1. POST /paneles/999999/widgets.</t>
        </is>
      </c>
      <c r="I105" s="71" t="inlineStr">
        <is>
          <t>Panel inexistente</t>
        </is>
      </c>
      <c r="J105" s="71" t="inlineStr">
        <is>
          <t>404</t>
        </is>
      </c>
      <c r="K105" s="82" t="inlineStr">
        <is>
          <t>404</t>
        </is>
      </c>
      <c r="L105" s="83" t="inlineStr">
        <is>
          <t>Aprobado</t>
        </is>
      </c>
      <c r="M105" s="82" t="inlineStr">
        <is>
          <t>—</t>
        </is>
      </c>
      <c r="N105" s="82" t="inlineStr">
        <is>
          <t>EV-CP-104</t>
        </is>
      </c>
      <c r="O105" s="82" t="inlineStr">
        <is>
          <t>QA</t>
        </is>
      </c>
      <c r="P105" s="82" t="inlineStr">
        <is>
          <t>30/10/2026</t>
        </is>
      </c>
      <c r="Q105" s="71" t="inlineStr">
        <is>
          <t>qa/03_Evidencias/HU34/test_hu34_qa.py::test_err_panel_inexistente_404</t>
        </is>
      </c>
      <c r="R105" s="71" t="inlineStr">
        <is>
          <t>Local</t>
        </is>
      </c>
      <c r="S105" s="71" t="inlineStr">
        <is>
          <t>c152f39 (qa-elliot)</t>
        </is>
      </c>
    </row>
    <row r="106" ht="47.5" customHeight="1" s="33">
      <c r="A106" s="71" t="inlineStr">
        <is>
          <t>CP-105</t>
        </is>
      </c>
      <c r="B106" s="71" t="inlineStr">
        <is>
          <t>HU-34</t>
        </is>
      </c>
      <c r="C106" s="71" t="inlineStr">
        <is>
          <t>RQ-HU34-03</t>
        </is>
      </c>
      <c r="D106" s="71" t="inlineStr">
        <is>
          <t>Funcional</t>
        </is>
      </c>
      <c r="E106" s="71" t="inlineStr">
        <is>
          <t>Alta</t>
        </is>
      </c>
      <c r="F106" s="71" t="inlineStr">
        <is>
          <t>Cliente Final</t>
        </is>
      </c>
      <c r="G106" s="71" t="inlineStr">
        <is>
          <t>1 widget línea en el panel</t>
        </is>
      </c>
      <c r="H106" s="71" t="inlineStr">
        <is>
          <t>1. PUT /widgets/{id} a tarjeta, QA pH, 2.ª ubicación y ancho 2. 2. GET /contenido.</t>
        </is>
      </c>
      <c r="I106" s="71" t="inlineStr">
        <is>
          <t>Nueva configuración</t>
        </is>
      </c>
      <c r="J106" s="71" t="inlineStr">
        <is>
          <t>200, MSG «Widget actualizado correctamente» y la configuración guardada</t>
        </is>
      </c>
      <c r="K106" s="82" t="inlineStr">
        <is>
          <t>200, mensaje exacto y configuración persistida</t>
        </is>
      </c>
      <c r="L106" s="83" t="inlineStr">
        <is>
          <t>Aprobado</t>
        </is>
      </c>
      <c r="M106" s="82" t="inlineStr">
        <is>
          <t>—</t>
        </is>
      </c>
      <c r="N106" s="82" t="inlineStr">
        <is>
          <t>EV-CP-105</t>
        </is>
      </c>
      <c r="O106" s="82" t="inlineStr">
        <is>
          <t>QA</t>
        </is>
      </c>
      <c r="P106" s="82" t="inlineStr">
        <is>
          <t>30/10/2026</t>
        </is>
      </c>
      <c r="Q106" s="71" t="inlineStr">
        <is>
          <t>qa/03_Evidencias/HU34/test_hu34_qa.py::test_ca3_editar_actualiza_y_muestra_mensaje</t>
        </is>
      </c>
      <c r="R106" s="71" t="inlineStr">
        <is>
          <t>Local</t>
        </is>
      </c>
      <c r="S106" s="71" t="inlineStr">
        <is>
          <t>c152f39 (qa-elliot)</t>
        </is>
      </c>
    </row>
    <row r="107" ht="47.5" customHeight="1" s="33">
      <c r="A107" s="71" t="inlineStr">
        <is>
          <t>CP-106</t>
        </is>
      </c>
      <c r="B107" s="71" t="inlineStr">
        <is>
          <t>HU-34</t>
        </is>
      </c>
      <c r="C107" s="71" t="inlineStr">
        <is>
          <t>RQ-HU34-03</t>
        </is>
      </c>
      <c r="D107" s="71" t="inlineStr">
        <is>
          <t>Funcional</t>
        </is>
      </c>
      <c r="E107" s="71" t="inlineStr">
        <is>
          <t>Media</t>
        </is>
      </c>
      <c r="F107" s="71" t="inlineStr">
        <is>
          <t>Cliente Final</t>
        </is>
      </c>
      <c r="G107" s="71" t="inlineStr">
        <is>
          <t>2 widgets en el panel</t>
        </is>
      </c>
      <c r="H107" s="71" t="inlineStr">
        <is>
          <t>1. Editar el primero. 2. GET /contenido.</t>
        </is>
      </c>
      <c r="I107" s="71" t="inlineStr">
        <is>
          <t>Cambio a área</t>
        </is>
      </c>
      <c r="J107" s="71" t="inlineStr">
        <is>
          <t>El widget editado conserva su posición</t>
        </is>
      </c>
      <c r="K107" s="82" t="inlineStr">
        <is>
          <t>Orden sin cambios</t>
        </is>
      </c>
      <c r="L107" s="83" t="inlineStr">
        <is>
          <t>Aprobado</t>
        </is>
      </c>
      <c r="M107" s="82" t="inlineStr">
        <is>
          <t>—</t>
        </is>
      </c>
      <c r="N107" s="82" t="inlineStr">
        <is>
          <t>EV-CP-106</t>
        </is>
      </c>
      <c r="O107" s="82" t="inlineStr">
        <is>
          <t>QA</t>
        </is>
      </c>
      <c r="P107" s="82" t="inlineStr">
        <is>
          <t>30/10/2026</t>
        </is>
      </c>
      <c r="Q107" s="71" t="inlineStr">
        <is>
          <t>qa/03_Evidencias/HU34/test_hu34_qa.py::test_ca3_editar_conserva_la_posicion</t>
        </is>
      </c>
      <c r="R107" s="71" t="inlineStr">
        <is>
          <t>Local</t>
        </is>
      </c>
      <c r="S107" s="71" t="inlineStr">
        <is>
          <t>c152f39 (qa-elliot)</t>
        </is>
      </c>
    </row>
    <row r="108" ht="47.5" customHeight="1" s="33">
      <c r="A108" s="71" t="inlineStr">
        <is>
          <t>CP-107</t>
        </is>
      </c>
      <c r="B108" s="71" t="inlineStr">
        <is>
          <t>HU-34</t>
        </is>
      </c>
      <c r="C108" s="71" t="inlineStr">
        <is>
          <t>RQ-HU34-03</t>
        </is>
      </c>
      <c r="D108" s="71" t="inlineStr">
        <is>
          <t>Negativa</t>
        </is>
      </c>
      <c r="E108" s="71" t="inlineStr">
        <is>
          <t>Alta</t>
        </is>
      </c>
      <c r="F108" s="71" t="inlineStr">
        <is>
          <t>Cliente Final</t>
        </is>
      </c>
      <c r="G108" s="71" t="inlineStr">
        <is>
          <t>1 widget en el panel</t>
        </is>
      </c>
      <c r="H108" s="71" t="inlineStr">
        <is>
          <t>1. PUT con una ubicación no añadida.</t>
        </is>
      </c>
      <c r="I108" s="71" t="inlineStr">
        <is>
          <t>Ubicación fuera del panel</t>
        </is>
      </c>
      <c r="J108" s="71" t="inlineStr">
        <is>
          <t>422 y el widget no cambia</t>
        </is>
      </c>
      <c r="K108" s="82" t="inlineStr">
        <is>
          <t>422; widget igual</t>
        </is>
      </c>
      <c r="L108" s="83" t="inlineStr">
        <is>
          <t>Aprobado</t>
        </is>
      </c>
      <c r="M108" s="82" t="inlineStr">
        <is>
          <t>—</t>
        </is>
      </c>
      <c r="N108" s="82" t="inlineStr">
        <is>
          <t>EV-CP-107</t>
        </is>
      </c>
      <c r="O108" s="82" t="inlineStr">
        <is>
          <t>QA</t>
        </is>
      </c>
      <c r="P108" s="82" t="inlineStr">
        <is>
          <t>30/10/2026</t>
        </is>
      </c>
      <c r="Q108" s="71" t="inlineStr">
        <is>
          <t>qa/03_Evidencias/HU34/test_hu34_qa.py::test_ca3_editar_con_ubicacion_no_anadida_422_y_no_cambia</t>
        </is>
      </c>
      <c r="R108" s="71" t="inlineStr">
        <is>
          <t>Local</t>
        </is>
      </c>
      <c r="S108" s="71" t="inlineStr">
        <is>
          <t>c152f39 (qa-elliot)</t>
        </is>
      </c>
    </row>
    <row r="109" ht="47.5" customHeight="1" s="33">
      <c r="A109" s="71" t="inlineStr">
        <is>
          <t>CP-108</t>
        </is>
      </c>
      <c r="B109" s="71" t="inlineStr">
        <is>
          <t>HU-34</t>
        </is>
      </c>
      <c r="C109" s="71" t="inlineStr">
        <is>
          <t>RQ-HU34-03</t>
        </is>
      </c>
      <c r="D109" s="71" t="inlineStr">
        <is>
          <t>Negativa</t>
        </is>
      </c>
      <c r="E109" s="71" t="inlineStr">
        <is>
          <t>Media</t>
        </is>
      </c>
      <c r="F109" s="71" t="inlineStr">
        <is>
          <t>Cliente Final</t>
        </is>
      </c>
      <c r="G109" s="71" t="inlineStr">
        <is>
          <t>1 widget y un segundo panel propio</t>
        </is>
      </c>
      <c r="H109" s="71" t="inlineStr">
        <is>
          <t>1. PUT /widgets/999999. 2. PUT del widget por el otro panel.</t>
        </is>
      </c>
      <c r="I109" s="71" t="inlineStr">
        <is>
          <t>Widget inexistente / de otro panel</t>
        </is>
      </c>
      <c r="J109" s="71" t="inlineStr">
        <is>
          <t>404 en ambos</t>
        </is>
      </c>
      <c r="K109" s="82" t="inlineStr">
        <is>
          <t>404 y 404</t>
        </is>
      </c>
      <c r="L109" s="83" t="inlineStr">
        <is>
          <t>Aprobado</t>
        </is>
      </c>
      <c r="M109" s="82" t="inlineStr">
        <is>
          <t>—</t>
        </is>
      </c>
      <c r="N109" s="82" t="inlineStr">
        <is>
          <t>EV-CP-108</t>
        </is>
      </c>
      <c r="O109" s="82" t="inlineStr">
        <is>
          <t>QA</t>
        </is>
      </c>
      <c r="P109" s="82" t="inlineStr">
        <is>
          <t>30/10/2026</t>
        </is>
      </c>
      <c r="Q109" s="71" t="inlineStr">
        <is>
          <t>qa/03_Evidencias/HU34/test_hu34_qa.py::test_ca3_editar_widget_inexistente_o_de_otro_panel_404</t>
        </is>
      </c>
      <c r="R109" s="71" t="inlineStr">
        <is>
          <t>Local</t>
        </is>
      </c>
      <c r="S109" s="71" t="inlineStr">
        <is>
          <t>c152f39 (qa-elliot)</t>
        </is>
      </c>
    </row>
    <row r="110" ht="47.5" customHeight="1" s="33">
      <c r="A110" s="71" t="inlineStr">
        <is>
          <t>CP-109</t>
        </is>
      </c>
      <c r="B110" s="71" t="inlineStr">
        <is>
          <t>HU-34</t>
        </is>
      </c>
      <c r="C110" s="71" t="inlineStr">
        <is>
          <t>RQ-HU34-04</t>
        </is>
      </c>
      <c r="D110" s="71" t="inlineStr">
        <is>
          <t>Funcional</t>
        </is>
      </c>
      <c r="E110" s="71" t="inlineStr">
        <is>
          <t>Alta</t>
        </is>
      </c>
      <c r="F110" s="71" t="inlineStr">
        <is>
          <t>Cliente Final</t>
        </is>
      </c>
      <c r="G110" s="71" t="inlineStr">
        <is>
          <t>2 widgets en el panel</t>
        </is>
      </c>
      <c r="H110" s="71" t="inlineStr">
        <is>
          <t>1. DELETE /widgets/{id}. 2. GET /contenido.</t>
        </is>
      </c>
      <c r="I110" s="71" t="inlineStr">
        <is>
          <t>DELETE del primero</t>
        </is>
      </c>
      <c r="J110" s="71" t="inlineStr">
        <is>
          <t>200, MSG «Widget eliminado correctamente» y queda solo el otro</t>
        </is>
      </c>
      <c r="K110" s="82" t="inlineStr">
        <is>
          <t>200, mensaje exacto, 1 restante</t>
        </is>
      </c>
      <c r="L110" s="83" t="inlineStr">
        <is>
          <t>Aprobado</t>
        </is>
      </c>
      <c r="M110" s="82" t="inlineStr">
        <is>
          <t>—</t>
        </is>
      </c>
      <c r="N110" s="82" t="inlineStr">
        <is>
          <t>EV-CP-109</t>
        </is>
      </c>
      <c r="O110" s="82" t="inlineStr">
        <is>
          <t>QA</t>
        </is>
      </c>
      <c r="P110" s="82" t="inlineStr">
        <is>
          <t>30/10/2026</t>
        </is>
      </c>
      <c r="Q110" s="71" t="inlineStr">
        <is>
          <t>qa/03_Evidencias/HU34/test_hu34_qa.py::test_ca4_eliminar_retira_y_muestra_mensaje</t>
        </is>
      </c>
      <c r="R110" s="71" t="inlineStr">
        <is>
          <t>Local</t>
        </is>
      </c>
      <c r="S110" s="71" t="inlineStr">
        <is>
          <t>c152f39 (qa-elliot)</t>
        </is>
      </c>
    </row>
    <row r="111" ht="47.5" customHeight="1" s="33">
      <c r="A111" s="71" t="inlineStr">
        <is>
          <t>CP-110</t>
        </is>
      </c>
      <c r="B111" s="71" t="inlineStr">
        <is>
          <t>HU-34</t>
        </is>
      </c>
      <c r="C111" s="71" t="inlineStr">
        <is>
          <t>RQ-HU34-04</t>
        </is>
      </c>
      <c r="D111" s="71" t="inlineStr">
        <is>
          <t>Funcional</t>
        </is>
      </c>
      <c r="E111" s="71" t="inlineStr">
        <is>
          <t>Alta</t>
        </is>
      </c>
      <c r="F111" s="71" t="inlineStr">
        <is>
          <t>Cliente Final</t>
        </is>
      </c>
      <c r="G111" s="71" t="inlineStr">
        <is>
          <t>Ubicación con 3 lecturas y 1 widget</t>
        </is>
      </c>
      <c r="H111" s="71" t="inlineStr">
        <is>
          <t>1. Eliminar el widget. 2. Contar telemetría, ubicaciones del panel y parámetro.</t>
        </is>
      </c>
      <c r="I111" s="71" t="inlineStr">
        <is>
          <t>3 lecturas, 2 ubicaciones</t>
        </is>
      </c>
      <c r="J111" s="71" t="inlineStr">
        <is>
          <t>Telemetría, ubicaciones del panel, ubicación y parámetro intactos</t>
        </is>
      </c>
      <c r="K111" s="82" t="inlineStr">
        <is>
          <t>3 lecturas, 2 ubicaciones, recursos presentes</t>
        </is>
      </c>
      <c r="L111" s="83" t="inlineStr">
        <is>
          <t>Aprobado</t>
        </is>
      </c>
      <c r="M111" s="82" t="inlineStr">
        <is>
          <t>—</t>
        </is>
      </c>
      <c r="N111" s="82" t="inlineStr">
        <is>
          <t>EV-CP-110</t>
        </is>
      </c>
      <c r="O111" s="82" t="inlineStr">
        <is>
          <t>QA</t>
        </is>
      </c>
      <c r="P111" s="82" t="inlineStr">
        <is>
          <t>30/10/2026</t>
        </is>
      </c>
      <c r="Q111" s="71" t="inlineStr">
        <is>
          <t>qa/03_Evidencias/HU34/test_hu34_qa.py::test_ca4_eliminar_no_afecta_telemetria_ubicaciones_ni_parametro</t>
        </is>
      </c>
      <c r="R111" s="71" t="inlineStr">
        <is>
          <t>Local</t>
        </is>
      </c>
      <c r="S111" s="71" t="inlineStr">
        <is>
          <t>c152f39 (qa-elliot)</t>
        </is>
      </c>
    </row>
    <row r="112" ht="47.5" customHeight="1" s="33">
      <c r="A112" s="71" t="inlineStr">
        <is>
          <t>CP-111</t>
        </is>
      </c>
      <c r="B112" s="71" t="inlineStr">
        <is>
          <t>HU-34</t>
        </is>
      </c>
      <c r="C112" s="71" t="inlineStr">
        <is>
          <t>RQ-HU34-04</t>
        </is>
      </c>
      <c r="D112" s="71" t="inlineStr">
        <is>
          <t>Negativa</t>
        </is>
      </c>
      <c r="E112" s="71" t="inlineStr">
        <is>
          <t>Media</t>
        </is>
      </c>
      <c r="F112" s="71" t="inlineStr">
        <is>
          <t>Cliente Final</t>
        </is>
      </c>
      <c r="G112" s="71" t="inlineStr">
        <is>
          <t>1 widget en el panel</t>
        </is>
      </c>
      <c r="H112" s="71" t="inlineStr">
        <is>
          <t>1. DELETE dos veces.</t>
        </is>
      </c>
      <c r="I112" s="71" t="inlineStr">
        <is>
          <t>Doble DELETE</t>
        </is>
      </c>
      <c r="J112" s="71" t="inlineStr">
        <is>
          <t>200 y luego 404</t>
        </is>
      </c>
      <c r="K112" s="82" t="inlineStr">
        <is>
          <t>200 y 404</t>
        </is>
      </c>
      <c r="L112" s="83" t="inlineStr">
        <is>
          <t>Aprobado</t>
        </is>
      </c>
      <c r="M112" s="82" t="inlineStr">
        <is>
          <t>—</t>
        </is>
      </c>
      <c r="N112" s="82" t="inlineStr">
        <is>
          <t>EV-CP-111</t>
        </is>
      </c>
      <c r="O112" s="82" t="inlineStr">
        <is>
          <t>QA</t>
        </is>
      </c>
      <c r="P112" s="82" t="inlineStr">
        <is>
          <t>30/10/2026</t>
        </is>
      </c>
      <c r="Q112" s="71" t="inlineStr">
        <is>
          <t>qa/03_Evidencias/HU34/test_hu34_qa.py::test_ca4_eliminar_dos_veces_la_segunda_404</t>
        </is>
      </c>
      <c r="R112" s="71" t="inlineStr">
        <is>
          <t>Local</t>
        </is>
      </c>
      <c r="S112" s="71" t="inlineStr">
        <is>
          <t>c152f39 (qa-elliot)</t>
        </is>
      </c>
    </row>
    <row r="113" ht="47.5" customHeight="1" s="33">
      <c r="A113" s="71" t="inlineStr">
        <is>
          <t>CP-112</t>
        </is>
      </c>
      <c r="B113" s="71" t="inlineStr">
        <is>
          <t>HU-34</t>
        </is>
      </c>
      <c r="C113" s="71" t="inlineStr">
        <is>
          <t>RQ-HU34-04</t>
        </is>
      </c>
      <c r="D113" s="71" t="inlineStr">
        <is>
          <t>Negativa</t>
        </is>
      </c>
      <c r="E113" s="71" t="inlineStr">
        <is>
          <t>Media</t>
        </is>
      </c>
      <c r="F113" s="71" t="inlineStr">
        <is>
          <t>Cliente Final</t>
        </is>
      </c>
      <c r="G113" s="71" t="inlineStr">
        <is>
          <t>1 widget y un segundo panel propio</t>
        </is>
      </c>
      <c r="H113" s="71" t="inlineStr">
        <is>
          <t>1. DELETE del widget por el otro panel.</t>
        </is>
      </c>
      <c r="I113" s="71" t="inlineStr">
        <is>
          <t>Panel equivocado</t>
        </is>
      </c>
      <c r="J113" s="71" t="inlineStr">
        <is>
          <t>404 y el widget sigue</t>
        </is>
      </c>
      <c r="K113" s="82" t="inlineStr">
        <is>
          <t>404; widget presente</t>
        </is>
      </c>
      <c r="L113" s="83" t="inlineStr">
        <is>
          <t>Aprobado</t>
        </is>
      </c>
      <c r="M113" s="82" t="inlineStr">
        <is>
          <t>—</t>
        </is>
      </c>
      <c r="N113" s="82" t="inlineStr">
        <is>
          <t>EV-CP-112</t>
        </is>
      </c>
      <c r="O113" s="82" t="inlineStr">
        <is>
          <t>QA</t>
        </is>
      </c>
      <c r="P113" s="82" t="inlineStr">
        <is>
          <t>30/10/2026</t>
        </is>
      </c>
      <c r="Q113" s="71" t="inlineStr">
        <is>
          <t>qa/03_Evidencias/HU34/test_hu34_qa.py::test_ca4_eliminar_por_otro_panel_404_y_no_borra</t>
        </is>
      </c>
      <c r="R113" s="71" t="inlineStr">
        <is>
          <t>Local</t>
        </is>
      </c>
      <c r="S113" s="71" t="inlineStr">
        <is>
          <t>c152f39 (qa-elliot)</t>
        </is>
      </c>
    </row>
    <row r="114" ht="47.5" customHeight="1" s="33">
      <c r="A114" s="71" t="inlineStr">
        <is>
          <t>CP-113</t>
        </is>
      </c>
      <c r="B114" s="71" t="inlineStr">
        <is>
          <t>HU-34</t>
        </is>
      </c>
      <c r="C114" s="71" t="inlineStr">
        <is>
          <t>RQ-HU34-05</t>
        </is>
      </c>
      <c r="D114" s="71" t="inlineStr">
        <is>
          <t>Funcional</t>
        </is>
      </c>
      <c r="E114" s="71" t="inlineStr">
        <is>
          <t>Alta</t>
        </is>
      </c>
      <c r="F114" s="71" t="inlineStr">
        <is>
          <t>Cliente Final</t>
        </is>
      </c>
      <c r="G114" s="71" t="inlineStr">
        <is>
          <t>3 widgets (línea, área, tarjeta)</t>
        </is>
      </c>
      <c r="H114" s="71" t="inlineStr">
        <is>
          <t>1. PUT /widgets/orden con [3, 1, 2]. 2. Recargar sesión y GET /contenido.</t>
        </is>
      </c>
      <c r="I114" s="71" t="inlineStr">
        <is>
          <t>Nuevo orden</t>
        </is>
      </c>
      <c r="J114" s="71" t="inlineStr">
        <is>
          <t>200 «Orden de widgets guardado correctamente» y el orden persiste (posiciones 0, 1, 2)</t>
        </is>
      </c>
      <c r="K114" s="82" t="inlineStr">
        <is>
          <t>200, mensaje y orden persistido</t>
        </is>
      </c>
      <c r="L114" s="83" t="inlineStr">
        <is>
          <t>Aprobado</t>
        </is>
      </c>
      <c r="M114" s="82" t="inlineStr">
        <is>
          <t>—</t>
        </is>
      </c>
      <c r="N114" s="82" t="inlineStr">
        <is>
          <t>EV-CP-113</t>
        </is>
      </c>
      <c r="O114" s="82" t="inlineStr">
        <is>
          <t>QA</t>
        </is>
      </c>
      <c r="P114" s="82" t="inlineStr">
        <is>
          <t>30/10/2026</t>
        </is>
      </c>
      <c r="Q114" s="71" t="inlineStr">
        <is>
          <t>qa/03_Evidencias/HU34/test_hu34_qa.py::test_ca5_reordenar_persiste_al_recargar</t>
        </is>
      </c>
      <c r="R114" s="71" t="inlineStr">
        <is>
          <t>Local</t>
        </is>
      </c>
      <c r="S114" s="71" t="inlineStr">
        <is>
          <t>c152f39 (qa-elliot)</t>
        </is>
      </c>
    </row>
    <row r="115" ht="47.5" customHeight="1" s="33">
      <c r="A115" s="71" t="inlineStr">
        <is>
          <t>CP-114</t>
        </is>
      </c>
      <c r="B115" s="71" t="inlineStr">
        <is>
          <t>HU-34</t>
        </is>
      </c>
      <c r="C115" s="71" t="inlineStr">
        <is>
          <t>RQ-HU34-05</t>
        </is>
      </c>
      <c r="D115" s="71" t="inlineStr">
        <is>
          <t>Negativa</t>
        </is>
      </c>
      <c r="E115" s="71" t="inlineStr">
        <is>
          <t>Alta</t>
        </is>
      </c>
      <c r="F115" s="71" t="inlineStr">
        <is>
          <t>Cliente Final</t>
        </is>
      </c>
      <c r="G115" s="71" t="inlineStr">
        <is>
          <t>3 widgets en el panel</t>
        </is>
      </c>
      <c r="H115" s="71" t="inlineStr">
        <is>
          <t>1. PUT /orden incompleto, con repetido, con id extra, con id ajeno y vacío.</t>
        </is>
      </c>
      <c r="I115" s="71" t="inlineStr">
        <is>
          <t>5 órdenes inválidos</t>
        </is>
      </c>
      <c r="J115" s="71" t="inlineStr">
        <is>
          <t>422 en todos y el orden no cambia</t>
        </is>
      </c>
      <c r="K115" s="82" t="inlineStr">
        <is>
          <t>422 en los 5; orden intacto</t>
        </is>
      </c>
      <c r="L115" s="83" t="inlineStr">
        <is>
          <t>Aprobado</t>
        </is>
      </c>
      <c r="M115" s="82" t="inlineStr">
        <is>
          <t>—</t>
        </is>
      </c>
      <c r="N115" s="82" t="inlineStr">
        <is>
          <t>EV-CP-114</t>
        </is>
      </c>
      <c r="O115" s="82" t="inlineStr">
        <is>
          <t>QA</t>
        </is>
      </c>
      <c r="P115" s="82" t="inlineStr">
        <is>
          <t>30/10/2026</t>
        </is>
      </c>
      <c r="Q115" s="71" t="inlineStr">
        <is>
          <t>qa/03_Evidencias/HU34/test_hu34_qa.py::test_ca5_orden_incompleto_duplicado_o_ajeno_422_y_no_cambia</t>
        </is>
      </c>
      <c r="R115" s="71" t="inlineStr">
        <is>
          <t>Local</t>
        </is>
      </c>
      <c r="S115" s="71" t="inlineStr">
        <is>
          <t>c152f39 (qa-elliot)</t>
        </is>
      </c>
    </row>
    <row r="116" ht="47.5" customHeight="1" s="33">
      <c r="A116" s="71" t="inlineStr">
        <is>
          <t>CP-115</t>
        </is>
      </c>
      <c r="B116" s="71" t="inlineStr">
        <is>
          <t>HU-34</t>
        </is>
      </c>
      <c r="C116" s="71" t="inlineStr">
        <is>
          <t>RQ-HU34-05</t>
        </is>
      </c>
      <c r="D116" s="71" t="inlineStr">
        <is>
          <t>Funcional</t>
        </is>
      </c>
      <c r="E116" s="71" t="inlineStr">
        <is>
          <t>Media</t>
        </is>
      </c>
      <c r="F116" s="71" t="inlineStr">
        <is>
          <t>Cliente Final</t>
        </is>
      </c>
      <c r="G116" s="71" t="inlineStr">
        <is>
          <t>2 widgets reordenados</t>
        </is>
      </c>
      <c r="H116" s="71" t="inlineStr">
        <is>
          <t>1. Crear un 3.º.</t>
        </is>
      </c>
      <c r="I116" s="71" t="inlineStr">
        <is>
          <t>Widget nuevo</t>
        </is>
      </c>
      <c r="J116" s="71" t="inlineStr">
        <is>
          <t>Se agrega al final del orden guardado</t>
        </is>
      </c>
      <c r="K116" s="82" t="inlineStr">
        <is>
          <t>Orden [b, a, c]</t>
        </is>
      </c>
      <c r="L116" s="83" t="inlineStr">
        <is>
          <t>Aprobado</t>
        </is>
      </c>
      <c r="M116" s="82" t="inlineStr">
        <is>
          <t>—</t>
        </is>
      </c>
      <c r="N116" s="82" t="inlineStr">
        <is>
          <t>EV-CP-115</t>
        </is>
      </c>
      <c r="O116" s="82" t="inlineStr">
        <is>
          <t>QA</t>
        </is>
      </c>
      <c r="P116" s="82" t="inlineStr">
        <is>
          <t>30/10/2026</t>
        </is>
      </c>
      <c r="Q116" s="71" t="inlineStr">
        <is>
          <t>qa/03_Evidencias/HU34/test_hu34_qa.py::test_ca5_widget_nuevo_va_al_final_tras_reordenar</t>
        </is>
      </c>
      <c r="R116" s="71" t="inlineStr">
        <is>
          <t>Local</t>
        </is>
      </c>
      <c r="S116" s="71" t="inlineStr">
        <is>
          <t>c152f39 (qa-elliot)</t>
        </is>
      </c>
    </row>
    <row r="117" ht="47.5" customHeight="1" s="33">
      <c r="A117" s="71" t="inlineStr">
        <is>
          <t>CP-116</t>
        </is>
      </c>
      <c r="B117" s="71" t="inlineStr">
        <is>
          <t>HU-34</t>
        </is>
      </c>
      <c r="C117" s="71" t="inlineStr">
        <is>
          <t>RQ-HU34-05</t>
        </is>
      </c>
      <c r="D117" s="71" t="inlineStr">
        <is>
          <t>Funcional</t>
        </is>
      </c>
      <c r="E117" s="71" t="inlineStr">
        <is>
          <t>Media</t>
        </is>
      </c>
      <c r="F117" s="71" t="inlineStr">
        <is>
          <t>Cliente Final</t>
        </is>
      </c>
      <c r="G117" s="71" t="inlineStr">
        <is>
          <t>4 widgets reordenados</t>
        </is>
      </c>
      <c r="H117" s="71" t="inlineStr">
        <is>
          <t>1. Eliminar uno del medio.</t>
        </is>
      </c>
      <c r="I117" s="71" t="inlineStr">
        <is>
          <t>Orden [4, 2, 3, 1]</t>
        </is>
      </c>
      <c r="J117" s="71" t="inlineStr">
        <is>
          <t>Los demás conservan su orden</t>
        </is>
      </c>
      <c r="K117" s="82" t="inlineStr">
        <is>
          <t>Orden [4, 3, 1]</t>
        </is>
      </c>
      <c r="L117" s="83" t="inlineStr">
        <is>
          <t>Aprobado</t>
        </is>
      </c>
      <c r="M117" s="82" t="inlineStr">
        <is>
          <t>—</t>
        </is>
      </c>
      <c r="N117" s="82" t="inlineStr">
        <is>
          <t>EV-CP-116</t>
        </is>
      </c>
      <c r="O117" s="82" t="inlineStr">
        <is>
          <t>QA</t>
        </is>
      </c>
      <c r="P117" s="82" t="inlineStr">
        <is>
          <t>30/10/2026</t>
        </is>
      </c>
      <c r="Q117" s="71" t="inlineStr">
        <is>
          <t>qa/03_Evidencias/HU34/test_hu34_qa.py::test_ca5_eliminar_mantiene_el_orden_de_los_demas</t>
        </is>
      </c>
      <c r="R117" s="71" t="inlineStr">
        <is>
          <t>Local</t>
        </is>
      </c>
      <c r="S117" s="71" t="inlineStr">
        <is>
          <t>c152f39 (qa-elliot)</t>
        </is>
      </c>
    </row>
    <row r="118" ht="47.5" customHeight="1" s="33">
      <c r="A118" s="71" t="inlineStr">
        <is>
          <t>CP-117</t>
        </is>
      </c>
      <c r="B118" s="71" t="inlineStr">
        <is>
          <t>HU-34</t>
        </is>
      </c>
      <c r="C118" s="71" t="inlineStr">
        <is>
          <t>RQ-HU34-06</t>
        </is>
      </c>
      <c r="D118" s="71" t="inlineStr">
        <is>
          <t>Seguridad</t>
        </is>
      </c>
      <c r="E118" s="71" t="inlineStr">
        <is>
          <t>Alta</t>
        </is>
      </c>
      <c r="F118" s="71" t="inlineStr">
        <is>
          <t>Sin sesión</t>
        </is>
      </c>
      <c r="G118" s="71" t="inlineStr">
        <is>
          <t>Sin autenticación</t>
        </is>
      </c>
      <c r="H118" s="71" t="inlineStr">
        <is>
          <t>1. POST, PUT, PUT /orden y DELETE de widgets sin token.</t>
        </is>
      </c>
      <c r="I118" s="71" t="inlineStr">
        <is>
          <t>Sin token</t>
        </is>
      </c>
      <c r="J118" s="71" t="inlineStr">
        <is>
          <t>401</t>
        </is>
      </c>
      <c r="K118" s="82" t="inlineStr">
        <is>
          <t>401 en los 4</t>
        </is>
      </c>
      <c r="L118" s="83" t="inlineStr">
        <is>
          <t>Aprobado</t>
        </is>
      </c>
      <c r="M118" s="82" t="inlineStr">
        <is>
          <t>—</t>
        </is>
      </c>
      <c r="N118" s="82" t="inlineStr">
        <is>
          <t>EV-CP-117</t>
        </is>
      </c>
      <c r="O118" s="82" t="inlineStr">
        <is>
          <t>QA</t>
        </is>
      </c>
      <c r="P118" s="82" t="inlineStr">
        <is>
          <t>30/10/2026</t>
        </is>
      </c>
      <c r="Q118" s="71" t="inlineStr">
        <is>
          <t>qa/03_Evidencias/HU34/test_hu34_qa.py::test_err_sin_autenticacion_401</t>
        </is>
      </c>
      <c r="R118" s="71" t="inlineStr">
        <is>
          <t>Local</t>
        </is>
      </c>
      <c r="S118" s="71" t="inlineStr">
        <is>
          <t>c152f39 (qa-elliot)</t>
        </is>
      </c>
    </row>
    <row r="119" ht="47.5" customHeight="1" s="33">
      <c r="A119" s="71" t="inlineStr">
        <is>
          <t>CP-118</t>
        </is>
      </c>
      <c r="B119" s="71" t="inlineStr">
        <is>
          <t>HU-34</t>
        </is>
      </c>
      <c r="C119" s="71" t="inlineStr">
        <is>
          <t>RQ-HU34-06</t>
        </is>
      </c>
      <c r="D119" s="71" t="inlineStr">
        <is>
          <t>Seguridad</t>
        </is>
      </c>
      <c r="E119" s="71" t="inlineStr">
        <is>
          <t>Alta</t>
        </is>
      </c>
      <c r="F119" s="71" t="inlineStr">
        <is>
          <t>Cliente Final con Lectura en Tableros</t>
        </is>
      </c>
      <c r="G119" s="71" t="inlineStr">
        <is>
          <t>Usuario con solo Lectura y panel propio</t>
        </is>
      </c>
      <c r="H119" s="71" t="inlineStr">
        <is>
          <t>1. POST /widgets. 2. PUT /orden.</t>
        </is>
      </c>
      <c r="I119" s="71" t="inlineStr">
        <is>
          <t>Permiso Lectura</t>
        </is>
      </c>
      <c r="J119" s="71" t="inlineStr">
        <is>
          <t>403 (no puede gestionar widgets)</t>
        </is>
      </c>
      <c r="K119" s="82" t="inlineStr">
        <is>
          <t>403 y 403</t>
        </is>
      </c>
      <c r="L119" s="83" t="inlineStr">
        <is>
          <t>Aprobado</t>
        </is>
      </c>
      <c r="M119" s="82" t="inlineStr">
        <is>
          <t>—</t>
        </is>
      </c>
      <c r="N119" s="82" t="inlineStr">
        <is>
          <t>EV-CP-118</t>
        </is>
      </c>
      <c r="O119" s="82" t="inlineStr">
        <is>
          <t>QA</t>
        </is>
      </c>
      <c r="P119" s="82" t="inlineStr">
        <is>
          <t>30/10/2026</t>
        </is>
      </c>
      <c r="Q119" s="71" t="inlineStr">
        <is>
          <t>qa/03_Evidencias/HU34/test_hu34_qa.py::test_err_solo_lectura_en_tableros_403</t>
        </is>
      </c>
      <c r="R119" s="71" t="inlineStr">
        <is>
          <t>Local</t>
        </is>
      </c>
      <c r="S119" s="71" t="inlineStr">
        <is>
          <t>c152f39 (qa-elliot)</t>
        </is>
      </c>
    </row>
    <row r="120" ht="47.5" customHeight="1" s="33">
      <c r="A120" s="71" t="inlineStr">
        <is>
          <t>CP-119</t>
        </is>
      </c>
      <c r="B120" s="71" t="inlineStr">
        <is>
          <t>HU-34</t>
        </is>
      </c>
      <c r="C120" s="71" t="inlineStr">
        <is>
          <t>RQ-HU34-06</t>
        </is>
      </c>
      <c r="D120" s="71" t="inlineStr">
        <is>
          <t>Seguridad</t>
        </is>
      </c>
      <c r="E120" s="71" t="inlineStr">
        <is>
          <t>Alta</t>
        </is>
      </c>
      <c r="F120" s="71" t="inlineStr">
        <is>
          <t>Otro Cliente Final con Edición</t>
        </is>
      </c>
      <c r="G120" s="71" t="inlineStr">
        <is>
          <t>Panel y widget de otro usuario</t>
        </is>
      </c>
      <c r="H120" s="71" t="inlineStr">
        <is>
          <t>1. POST, PUT y DELETE sobre el panel ajeno.</t>
        </is>
      </c>
      <c r="I120" s="71" t="inlineStr">
        <is>
          <t>Panel ajeno</t>
        </is>
      </c>
      <c r="J120" s="71" t="inlineStr">
        <is>
          <t>404 sin revelar el panel; no se crea ni borra nada</t>
        </is>
      </c>
      <c r="K120" s="82" t="inlineStr">
        <is>
          <t>404 en los 3; 1 widget intacto</t>
        </is>
      </c>
      <c r="L120" s="83" t="inlineStr">
        <is>
          <t>Aprobado</t>
        </is>
      </c>
      <c r="M120" s="82" t="inlineStr">
        <is>
          <t>—</t>
        </is>
      </c>
      <c r="N120" s="82" t="inlineStr">
        <is>
          <t>EV-CP-119</t>
        </is>
      </c>
      <c r="O120" s="82" t="inlineStr">
        <is>
          <t>QA</t>
        </is>
      </c>
      <c r="P120" s="82" t="inlineStr">
        <is>
          <t>30/10/2026</t>
        </is>
      </c>
      <c r="Q120" s="71" t="inlineStr">
        <is>
          <t>qa/03_Evidencias/HU34/test_hu34_qa.py::test_err_panel_de_otro_usuario_404_y_no_crea</t>
        </is>
      </c>
      <c r="R120" s="71" t="inlineStr">
        <is>
          <t>Local</t>
        </is>
      </c>
      <c r="S120" s="71" t="inlineStr">
        <is>
          <t>c152f39 (qa-elliot)</t>
        </is>
      </c>
    </row>
    <row r="121" ht="47.5" customHeight="1" s="33">
      <c r="A121" s="71" t="inlineStr">
        <is>
          <t>CP-120</t>
        </is>
      </c>
      <c r="B121" s="71" t="inlineStr">
        <is>
          <t>HU-34</t>
        </is>
      </c>
      <c r="C121" s="71" t="inlineStr">
        <is>
          <t>RQ-HU34-01</t>
        </is>
      </c>
      <c r="D121" s="71" t="inlineStr">
        <is>
          <t>Funcional</t>
        </is>
      </c>
      <c r="E121" s="71" t="inlineStr">
        <is>
          <t>Media</t>
        </is>
      </c>
      <c r="F121" s="71" t="inlineStr">
        <is>
          <t>Cliente Final (cliente@pangea-dev.com)</t>
        </is>
      </c>
      <c r="G121" s="71" t="inlineStr">
        <is>
          <t>Panel recién creado sin ubicaciones</t>
        </is>
      </c>
      <c r="H121" s="71" t="inlineStr">
        <is>
          <t>1. Abrir el panel. 2. Añadir una ubicación.</t>
        </is>
      </c>
      <c r="I121" s="71" t="inlineStr">
        <is>
          <t>Panel «QA HU34 ####»</t>
        </is>
      </c>
      <c r="J121" s="71" t="inlineStr">
        <is>
          <t>Sin ubicaciones no se ofrece «+ Añadir widget»; con una ubicación aparece el botón y el mensaje de panel sin widgets</t>
        </is>
      </c>
      <c r="K121" s="82" t="inlineStr">
        <is>
          <t>Comportamiento esperado</t>
        </is>
      </c>
      <c r="L121" s="83" t="inlineStr">
        <is>
          <t>Aprobado</t>
        </is>
      </c>
      <c r="M121" s="82" t="inlineStr">
        <is>
          <t>—</t>
        </is>
      </c>
      <c r="N121" s="82" t="inlineStr">
        <is>
          <t>EV-CP-120</t>
        </is>
      </c>
      <c r="O121" s="82" t="inlineStr">
        <is>
          <t>QA</t>
        </is>
      </c>
      <c r="P121" s="82" t="inlineStr">
        <is>
          <t>30/10/2026</t>
        </is>
      </c>
      <c r="Q121" s="71" t="inlineStr">
        <is>
          <t>hu34.spec.mjs · Precondición: sin ubicaciones no se ofrece «Añadir widget»</t>
        </is>
      </c>
      <c r="R121" s="71" t="inlineStr">
        <is>
          <t>Local</t>
        </is>
      </c>
      <c r="S121" s="71" t="inlineStr">
        <is>
          <t>c152f39 (qa-elliot)</t>
        </is>
      </c>
    </row>
    <row r="122" ht="47.5" customHeight="1" s="33">
      <c r="A122" s="71" t="inlineStr">
        <is>
          <t>CP-121</t>
        </is>
      </c>
      <c r="B122" s="71" t="inlineStr">
        <is>
          <t>HU-34</t>
        </is>
      </c>
      <c r="C122" s="71" t="inlineStr">
        <is>
          <t>RQ-HU34-01</t>
        </is>
      </c>
      <c r="D122" s="71" t="inlineStr">
        <is>
          <t>Funcional</t>
        </is>
      </c>
      <c r="E122" s="71" t="inlineStr">
        <is>
          <t>Alta</t>
        </is>
      </c>
      <c r="F122" s="71" t="inlineStr">
        <is>
          <t>Cliente Final (cliente@pangea-dev.com)</t>
        </is>
      </c>
      <c r="G122" s="71" t="inlineStr">
        <is>
          <t>Panel con Río Rímac añadida</t>
        </is>
      </c>
      <c r="H122" s="71" t="inlineStr">
        <is>
          <t>1. Pulsar «+ Añadir widget».</t>
        </is>
      </c>
      <c r="I122" s="71" t="inlineStr">
        <is>
          <t>—</t>
        </is>
      </c>
      <c r="J122" s="71" t="inlineStr">
        <is>
          <t>Drawer «Añadir widget» con selector Gráfico de línea, Gráfico de área y Tarjeta de valor actual</t>
        </is>
      </c>
      <c r="K122" s="82" t="inlineStr">
        <is>
          <t>Selector con los 3 tipos (y «Tabla de lecturas», OBS-19)</t>
        </is>
      </c>
      <c r="L122" s="83" t="inlineStr">
        <is>
          <t>Aprobado</t>
        </is>
      </c>
      <c r="M122" s="82" t="inlineStr">
        <is>
          <t>—</t>
        </is>
      </c>
      <c r="N122" s="82" t="inlineStr">
        <is>
          <t>EV-CP-121</t>
        </is>
      </c>
      <c r="O122" s="82" t="inlineStr">
        <is>
          <t>QA</t>
        </is>
      </c>
      <c r="P122" s="82" t="inlineStr">
        <is>
          <t>30/10/2026</t>
        </is>
      </c>
      <c r="Q122" s="71" t="inlineStr">
        <is>
          <t>hu34.spec.mjs · CA1 «Añadir widget» muestra el selector de tipos de widget</t>
        </is>
      </c>
      <c r="R122" s="71" t="inlineStr">
        <is>
          <t>Local</t>
        </is>
      </c>
      <c r="S122" s="71" t="inlineStr">
        <is>
          <t>c152f39 (qa-elliot)</t>
        </is>
      </c>
    </row>
    <row r="123" ht="47.5" customHeight="1" s="33">
      <c r="A123" s="71" t="inlineStr">
        <is>
          <t>CP-122</t>
        </is>
      </c>
      <c r="B123" s="71" t="inlineStr">
        <is>
          <t>HU-34</t>
        </is>
      </c>
      <c r="C123" s="71" t="inlineStr">
        <is>
          <t>RQ-HU34-02</t>
        </is>
      </c>
      <c r="D123" s="71" t="inlineStr">
        <is>
          <t>Negativa</t>
        </is>
      </c>
      <c r="E123" s="71" t="inlineStr">
        <is>
          <t>Media</t>
        </is>
      </c>
      <c r="F123" s="71" t="inlineStr">
        <is>
          <t>Cliente Final (cliente@pangea-dev.com)</t>
        </is>
      </c>
      <c r="G123" s="71" t="inlineStr">
        <is>
          <t>Drawer abierto sin parámetro</t>
        </is>
      </c>
      <c r="H123" s="71" t="inlineStr">
        <is>
          <t>1. Ver «Guardar widget». 2. Revisar ubicaciones. 3. Elegir parámetro. 4. Cancelar.</t>
        </is>
      </c>
      <c r="I123" s="71" t="inlineStr">
        <is>
          <t>ph (pH)</t>
        </is>
      </c>
      <c r="J123" s="71" t="inlineStr">
        <is>
          <t>Deshabilitado sin parámetro; solo se ofrecen ubicaciones del panel; Cancelar no crea nada</t>
        </is>
      </c>
      <c r="K123" s="82" t="inlineStr">
        <is>
          <t>Comportamiento esperado</t>
        </is>
      </c>
      <c r="L123" s="83" t="inlineStr">
        <is>
          <t>Aprobado</t>
        </is>
      </c>
      <c r="M123" s="82" t="inlineStr">
        <is>
          <t>—</t>
        </is>
      </c>
      <c r="N123" s="82" t="inlineStr">
        <is>
          <t>EV-CP-122</t>
        </is>
      </c>
      <c r="O123" s="82" t="inlineStr">
        <is>
          <t>QA</t>
        </is>
      </c>
      <c r="P123" s="82" t="inlineStr">
        <is>
          <t>30/10/2026</t>
        </is>
      </c>
      <c r="Q123" s="71" t="inlineStr">
        <is>
          <t>hu34.spec.mjs · CA2 sin parámetro el botón GUARDAR WIDGET está deshabilitado; solo se ofrecen ubicaciones del panel</t>
        </is>
      </c>
      <c r="R123" s="71" t="inlineStr">
        <is>
          <t>Local</t>
        </is>
      </c>
      <c r="S123" s="71" t="inlineStr">
        <is>
          <t>c152f39 (qa-elliot)</t>
        </is>
      </c>
    </row>
    <row r="124" ht="47.5" customHeight="1" s="33">
      <c r="A124" s="71" t="inlineStr">
        <is>
          <t>CP-123</t>
        </is>
      </c>
      <c r="B124" s="71" t="inlineStr">
        <is>
          <t>HU-34</t>
        </is>
      </c>
      <c r="C124" s="71" t="inlineStr">
        <is>
          <t>RQ-HU34-02</t>
        </is>
      </c>
      <c r="D124" s="71" t="inlineStr">
        <is>
          <t>Funcional</t>
        </is>
      </c>
      <c r="E124" s="71" t="inlineStr">
        <is>
          <t>Alta</t>
        </is>
      </c>
      <c r="F124" s="71" t="inlineStr">
        <is>
          <t>Cliente Final (cliente@pangea-dev.com)</t>
        </is>
      </c>
      <c r="G124" s="71" t="inlineStr">
        <is>
          <t>Río Rímac con lecturas de pH y temperatura</t>
        </is>
      </c>
      <c r="H124" s="71" t="inlineStr">
        <is>
          <t>1. Añadir línea de pH, área de temperatura y tarjeta de pH con «Guardar widget».</t>
        </is>
      </c>
      <c r="I124" s="71" t="inlineStr">
        <is>
          <t>3 widgets</t>
        </is>
      </c>
      <c r="J124" s="71" t="inlineStr">
        <is>
          <t>MSG «Widget creado correctamente» y cada widget con sus datos (gráficos y valor 7.42 pH)</t>
        </is>
      </c>
      <c r="K124" s="82" t="inlineStr">
        <is>
          <t>3 widgets con gráficos y tarjeta 7.42 pH</t>
        </is>
      </c>
      <c r="L124" s="83" t="inlineStr">
        <is>
          <t>Aprobado</t>
        </is>
      </c>
      <c r="M124" s="82" t="inlineStr">
        <is>
          <t>—</t>
        </is>
      </c>
      <c r="N124" s="82" t="inlineStr">
        <is>
          <t>EV-CP-123</t>
        </is>
      </c>
      <c r="O124" s="82" t="inlineStr">
        <is>
          <t>QA</t>
        </is>
      </c>
      <c r="P124" s="82" t="inlineStr">
        <is>
          <t>30/10/2026</t>
        </is>
      </c>
      <c r="Q124" s="71" t="inlineStr">
        <is>
          <t>hu34.spec.mjs · CA2 guardar agrega línea, área y tarjeta con datos de telemetría</t>
        </is>
      </c>
      <c r="R124" s="71" t="inlineStr">
        <is>
          <t>Local</t>
        </is>
      </c>
      <c r="S124" s="71" t="inlineStr">
        <is>
          <t>c152f39 (qa-elliot)</t>
        </is>
      </c>
    </row>
    <row r="125" ht="47.5" customHeight="1" s="33">
      <c r="A125" s="71" t="inlineStr">
        <is>
          <t>CP-124</t>
        </is>
      </c>
      <c r="B125" s="71" t="inlineStr">
        <is>
          <t>HU-34</t>
        </is>
      </c>
      <c r="C125" s="71" t="inlineStr">
        <is>
          <t>RQ-HU34-03</t>
        </is>
      </c>
      <c r="D125" s="71" t="inlineStr">
        <is>
          <t>Funcional</t>
        </is>
      </c>
      <c r="E125" s="71" t="inlineStr">
        <is>
          <t>Alta</t>
        </is>
      </c>
      <c r="F125" s="71" t="inlineStr">
        <is>
          <t>Cliente Final (cliente@pangea-dev.com)</t>
        </is>
      </c>
      <c r="G125" s="71" t="inlineStr">
        <is>
          <t>3 widgets en el panel</t>
        </is>
      </c>
      <c r="H125" s="71" t="inlineStr">
        <is>
          <t>1. «Editar» el de línea. 2. Cambiar a área y temperatura. 3. «Guardar widget».</t>
        </is>
      </c>
      <c r="I125" s="71" t="inlineStr">
        <is>
          <t>Nueva configuración</t>
        </is>
      </c>
      <c r="J125" s="71" t="inlineStr">
        <is>
          <t>Drawer «Editar widget» con los valores actuales; MSG «Widget actualizado correctamente» y el gráfico cambia</t>
        </is>
      </c>
      <c r="K125" s="82" t="inlineStr">
        <is>
          <t>Mensaje exacto y gráfico de temperatura</t>
        </is>
      </c>
      <c r="L125" s="83" t="inlineStr">
        <is>
          <t>Aprobado</t>
        </is>
      </c>
      <c r="M125" s="82" t="inlineStr">
        <is>
          <t>—</t>
        </is>
      </c>
      <c r="N125" s="82" t="inlineStr">
        <is>
          <t>EV-CP-124</t>
        </is>
      </c>
      <c r="O125" s="82" t="inlineStr">
        <is>
          <t>QA</t>
        </is>
      </c>
      <c r="P125" s="82" t="inlineStr">
        <is>
          <t>30/10/2026</t>
        </is>
      </c>
      <c r="Q125" s="71" t="inlineStr">
        <is>
          <t>hu34.spec.mjs · CA3 editar un widget y GUARDAR WIDGET muestra «Widget actualizado correctamente»</t>
        </is>
      </c>
      <c r="R125" s="71" t="inlineStr">
        <is>
          <t>Local</t>
        </is>
      </c>
      <c r="S125" s="71" t="inlineStr">
        <is>
          <t>c152f39 (qa-elliot)</t>
        </is>
      </c>
    </row>
    <row r="126" ht="47.5" customHeight="1" s="33">
      <c r="A126" s="71" t="inlineStr">
        <is>
          <t>CP-125</t>
        </is>
      </c>
      <c r="B126" s="71" t="inlineStr">
        <is>
          <t>HU-34</t>
        </is>
      </c>
      <c r="C126" s="71" t="inlineStr">
        <is>
          <t>RQ-HU34-04</t>
        </is>
      </c>
      <c r="D126" s="71" t="inlineStr">
        <is>
          <t>Funcional</t>
        </is>
      </c>
      <c r="E126" s="71" t="inlineStr">
        <is>
          <t>Media</t>
        </is>
      </c>
      <c r="F126" s="71" t="inlineStr">
        <is>
          <t>Cliente Final (cliente@pangea-dev.com)</t>
        </is>
      </c>
      <c r="G126" s="71" t="inlineStr">
        <is>
          <t>3 widgets en el panel</t>
        </is>
      </c>
      <c r="H126" s="71" t="inlineStr">
        <is>
          <t>1. «Eliminar». 2. Cancelar.</t>
        </is>
      </c>
      <c r="I126" s="71" t="inlineStr">
        <is>
          <t>Widget de temperatura</t>
        </is>
      </c>
      <c r="J126" s="71" t="inlineStr">
        <is>
          <t>Modal con aviso de datos conservados; Cancelar no retira el widget</t>
        </is>
      </c>
      <c r="K126" s="82" t="inlineStr">
        <is>
          <t>Comportamiento esperado</t>
        </is>
      </c>
      <c r="L126" s="83" t="inlineStr">
        <is>
          <t>Aprobado</t>
        </is>
      </c>
      <c r="M126" s="82" t="inlineStr">
        <is>
          <t>—</t>
        </is>
      </c>
      <c r="N126" s="82" t="inlineStr">
        <is>
          <t>EV-CP-125</t>
        </is>
      </c>
      <c r="O126" s="82" t="inlineStr">
        <is>
          <t>QA</t>
        </is>
      </c>
      <c r="P126" s="82" t="inlineStr">
        <is>
          <t>30/10/2026</t>
        </is>
      </c>
      <c r="Q126" s="71" t="inlineStr">
        <is>
          <t>hu34.spec.mjs · CA4 cancelar el modal de Eliminar no retira el widget</t>
        </is>
      </c>
      <c r="R126" s="71" t="inlineStr">
        <is>
          <t>Local</t>
        </is>
      </c>
      <c r="S126" s="71" t="inlineStr">
        <is>
          <t>c152f39 (qa-elliot)</t>
        </is>
      </c>
    </row>
    <row r="127" ht="47.5" customHeight="1" s="33">
      <c r="A127" s="71" t="inlineStr">
        <is>
          <t>CP-126</t>
        </is>
      </c>
      <c r="B127" s="71" t="inlineStr">
        <is>
          <t>HU-34</t>
        </is>
      </c>
      <c r="C127" s="71" t="inlineStr">
        <is>
          <t>RQ-HU34-04</t>
        </is>
      </c>
      <c r="D127" s="71" t="inlineStr">
        <is>
          <t>Funcional</t>
        </is>
      </c>
      <c r="E127" s="71" t="inlineStr">
        <is>
          <t>Alta</t>
        </is>
      </c>
      <c r="F127" s="71" t="inlineStr">
        <is>
          <t>Cliente Final (cliente@pangea-dev.com)</t>
        </is>
      </c>
      <c r="G127" s="71" t="inlineStr">
        <is>
          <t>3 widgets en el panel</t>
        </is>
      </c>
      <c r="H127" s="71" t="inlineStr">
        <is>
          <t>1. «Eliminar». 2. «Confirmar».</t>
        </is>
      </c>
      <c r="I127" s="71" t="inlineStr">
        <is>
          <t>Widget de temperatura</t>
        </is>
      </c>
      <c r="J127" s="71" t="inlineStr">
        <is>
          <t>MSG «Widget eliminado correctamente»; quedan 2; la ubicación y la tarjeta 7.42 siguen</t>
        </is>
      </c>
      <c r="K127" s="82" t="inlineStr">
        <is>
          <t>Mensaje exacto; ubicación y datos intactos</t>
        </is>
      </c>
      <c r="L127" s="83" t="inlineStr">
        <is>
          <t>Aprobado</t>
        </is>
      </c>
      <c r="M127" s="82" t="inlineStr">
        <is>
          <t>—</t>
        </is>
      </c>
      <c r="N127" s="82" t="inlineStr">
        <is>
          <t>EV-CP-126</t>
        </is>
      </c>
      <c r="O127" s="82" t="inlineStr">
        <is>
          <t>QA</t>
        </is>
      </c>
      <c r="P127" s="82" t="inlineStr">
        <is>
          <t>30/10/2026</t>
        </is>
      </c>
      <c r="Q127" s="71" t="inlineStr">
        <is>
          <t>hu34.spec.mjs · CA4 eliminar y confirmar retira el widget y muestra «Widget eliminado correctamente»</t>
        </is>
      </c>
      <c r="R127" s="71" t="inlineStr">
        <is>
          <t>Local</t>
        </is>
      </c>
      <c r="S127" s="71" t="inlineStr">
        <is>
          <t>c152f39 (qa-elliot)</t>
        </is>
      </c>
    </row>
    <row r="128" ht="47.5" customHeight="1" s="33">
      <c r="A128" s="71" t="inlineStr">
        <is>
          <t>CP-127</t>
        </is>
      </c>
      <c r="B128" s="71" t="inlineStr">
        <is>
          <t>HU-34</t>
        </is>
      </c>
      <c r="C128" s="71" t="inlineStr">
        <is>
          <t>RQ-HU34-05</t>
        </is>
      </c>
      <c r="D128" s="71" t="inlineStr">
        <is>
          <t>Funcional</t>
        </is>
      </c>
      <c r="E128" s="71" t="inlineStr">
        <is>
          <t>Alta</t>
        </is>
      </c>
      <c r="F128" s="71" t="inlineStr">
        <is>
          <t>Cliente Final (cliente@pangea-dev.com)</t>
        </is>
      </c>
      <c r="G128" s="71" t="inlineStr">
        <is>
          <t>3 widgets en el panel</t>
        </is>
      </c>
      <c r="H128" s="71" t="inlineStr">
        <is>
          <t>1. Arrastrar el 3.º sobre el 1.º. 2. Recargar la página.</t>
        </is>
      </c>
      <c r="I128" s="71" t="inlineStr">
        <is>
          <t>Arrastrar y soltar</t>
        </is>
      </c>
      <c r="J128" s="71" t="inlineStr">
        <is>
          <t>PUT /orden 200 y el nuevo orden se mantiene tras recargar</t>
        </is>
      </c>
      <c r="K128" s="82" t="inlineStr">
        <is>
          <t>Orden [ph, temperatura, ph tarjeta] antes y después de recargar</t>
        </is>
      </c>
      <c r="L128" s="83" t="inlineStr">
        <is>
          <t>Aprobado</t>
        </is>
      </c>
      <c r="M128" s="82" t="inlineStr">
        <is>
          <t>—</t>
        </is>
      </c>
      <c r="N128" s="82" t="inlineStr">
        <is>
          <t>EV-CP-127</t>
        </is>
      </c>
      <c r="O128" s="82" t="inlineStr">
        <is>
          <t>QA</t>
        </is>
      </c>
      <c r="P128" s="82" t="inlineStr">
        <is>
          <t>30/10/2026</t>
        </is>
      </c>
      <c r="Q128" s="71" t="inlineStr">
        <is>
          <t>hu34.spec.mjs · CA5 arrastrar un widget guarda la nueva disposición y se mantiene al recargar</t>
        </is>
      </c>
      <c r="R128" s="71" t="inlineStr">
        <is>
          <t>Local</t>
        </is>
      </c>
      <c r="S128" s="71" t="inlineStr">
        <is>
          <t>c152f39 (qa-elliot)</t>
        </is>
      </c>
    </row>
    <row r="129" ht="18.5" customHeight="1" s="33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84" t="n"/>
      <c r="N129" s="84" t="n"/>
      <c r="O129" s="84" t="n"/>
      <c r="P129" s="84" t="n"/>
      <c r="Q129" s="84" t="n"/>
      <c r="R129" s="84" t="n"/>
      <c r="S129" s="84" t="n"/>
    </row>
    <row r="130" ht="18.5" customHeight="1" s="33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5" t="n"/>
      <c r="M130" s="84" t="n"/>
      <c r="N130" s="84" t="n"/>
      <c r="O130" s="84" t="n"/>
      <c r="P130" s="84" t="n"/>
      <c r="Q130" s="84" t="n"/>
      <c r="R130" s="84" t="n"/>
      <c r="S130" s="84" t="n"/>
    </row>
    <row r="131" ht="18.5" customHeight="1" s="33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84" t="n"/>
      <c r="N131" s="84" t="n"/>
      <c r="O131" s="84" t="n"/>
      <c r="P131" s="84" t="n"/>
      <c r="Q131" s="84" t="n"/>
      <c r="R131" s="84" t="n"/>
      <c r="S131" s="84" t="n"/>
    </row>
    <row r="132" ht="18.5" customHeight="1" s="33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5" t="n"/>
      <c r="M132" s="84" t="n"/>
      <c r="N132" s="84" t="n"/>
      <c r="O132" s="84" t="n"/>
      <c r="P132" s="84" t="n"/>
      <c r="Q132" s="84" t="n"/>
      <c r="R132" s="84" t="n"/>
      <c r="S132" s="84" t="n"/>
    </row>
    <row r="133" ht="18.5" customHeight="1" s="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84" t="n"/>
      <c r="N133" s="84" t="n"/>
      <c r="O133" s="84" t="n"/>
      <c r="P133" s="84" t="n"/>
      <c r="Q133" s="84" t="n"/>
      <c r="R133" s="84" t="n"/>
      <c r="S133" s="84" t="n"/>
    </row>
    <row r="134" ht="18.5" customHeight="1" s="33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  <c r="S134" s="84" t="n"/>
    </row>
    <row r="135" ht="18.5" customHeight="1" s="33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84" t="n"/>
      <c r="N135" s="84" t="n"/>
      <c r="O135" s="84" t="n"/>
      <c r="P135" s="84" t="n"/>
      <c r="Q135" s="84" t="n"/>
      <c r="R135" s="84" t="n"/>
      <c r="S135" s="84" t="n"/>
    </row>
    <row r="136" ht="18.5" customHeight="1" s="33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n"/>
      <c r="S136" s="84" t="n"/>
    </row>
    <row r="137" ht="18.5" customHeight="1" s="33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</row>
    <row r="138" ht="18.5" customHeight="1" s="33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n"/>
      <c r="S138" s="84" t="n"/>
    </row>
    <row r="139" ht="18.5" customHeight="1" s="33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84" t="n"/>
      <c r="N139" s="84" t="n"/>
      <c r="O139" s="84" t="n"/>
      <c r="P139" s="84" t="n"/>
      <c r="Q139" s="84" t="n"/>
      <c r="R139" s="84" t="n"/>
      <c r="S139" s="84" t="n"/>
    </row>
    <row r="140" ht="18.5" customHeight="1" s="33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5" t="n"/>
      <c r="M140" s="84" t="n"/>
      <c r="N140" s="84" t="n"/>
      <c r="O140" s="84" t="n"/>
      <c r="P140" s="84" t="n"/>
      <c r="Q140" s="84" t="n"/>
      <c r="R140" s="84" t="n"/>
      <c r="S140" s="84" t="n"/>
    </row>
    <row r="141" ht="18.5" customHeight="1" s="33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5" t="n"/>
      <c r="M141" s="84" t="n"/>
      <c r="N141" s="84" t="n"/>
      <c r="O141" s="84" t="n"/>
      <c r="P141" s="84" t="n"/>
      <c r="Q141" s="84" t="n"/>
      <c r="R141" s="84" t="n"/>
      <c r="S141" s="84" t="n"/>
    </row>
    <row r="142" ht="18.5" customHeight="1" s="33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5" t="n"/>
      <c r="M142" s="84" t="n"/>
      <c r="N142" s="84" t="n"/>
      <c r="O142" s="84" t="n"/>
      <c r="P142" s="84" t="n"/>
      <c r="Q142" s="84" t="n"/>
      <c r="R142" s="84" t="n"/>
      <c r="S142" s="84" t="n"/>
    </row>
    <row r="143" ht="18.5" customHeight="1" s="3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84" t="n"/>
      <c r="N143" s="84" t="n"/>
      <c r="O143" s="84" t="n"/>
      <c r="P143" s="84" t="n"/>
      <c r="Q143" s="84" t="n"/>
      <c r="R143" s="84" t="n"/>
      <c r="S143" s="84" t="n"/>
    </row>
    <row r="144" ht="18.5" customHeight="1" s="33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5" t="n"/>
      <c r="M144" s="84" t="n"/>
      <c r="N144" s="84" t="n"/>
      <c r="O144" s="84" t="n"/>
      <c r="P144" s="84" t="n"/>
      <c r="Q144" s="84" t="n"/>
      <c r="R144" s="84" t="n"/>
      <c r="S144" s="84" t="n"/>
    </row>
    <row r="145" ht="18.5" customHeight="1" s="33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5" t="n"/>
      <c r="M145" s="84" t="n"/>
      <c r="N145" s="84" t="n"/>
      <c r="O145" s="84" t="n"/>
      <c r="P145" s="84" t="n"/>
      <c r="Q145" s="84" t="n"/>
      <c r="R145" s="84" t="n"/>
      <c r="S145" s="84" t="n"/>
    </row>
    <row r="146" ht="18.5" customHeight="1" s="33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5" t="n"/>
      <c r="M146" s="84" t="n"/>
      <c r="N146" s="84" t="n"/>
      <c r="O146" s="84" t="n"/>
      <c r="P146" s="84" t="n"/>
      <c r="Q146" s="84" t="n"/>
      <c r="R146" s="84" t="n"/>
      <c r="S146" s="84" t="n"/>
    </row>
    <row r="147" ht="18.5" customHeight="1" s="33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84" t="n"/>
      <c r="N147" s="84" t="n"/>
      <c r="O147" s="84" t="n"/>
      <c r="P147" s="84" t="n"/>
      <c r="Q147" s="84" t="n"/>
      <c r="R147" s="84" t="n"/>
      <c r="S147" s="84" t="n"/>
    </row>
    <row r="148" ht="18.5" customHeight="1" s="33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5" t="n"/>
      <c r="M148" s="84" t="n"/>
      <c r="N148" s="84" t="n"/>
      <c r="O148" s="84" t="n"/>
      <c r="P148" s="84" t="n"/>
      <c r="Q148" s="84" t="n"/>
      <c r="R148" s="84" t="n"/>
      <c r="S148" s="84" t="n"/>
    </row>
    <row r="149" ht="18.5" customHeight="1" s="33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5" t="n"/>
      <c r="M149" s="84" t="n"/>
      <c r="N149" s="84" t="n"/>
      <c r="O149" s="84" t="n"/>
      <c r="P149" s="84" t="n"/>
      <c r="Q149" s="84" t="n"/>
      <c r="R149" s="84" t="n"/>
      <c r="S149" s="84" t="n"/>
    </row>
    <row r="150" ht="18.5" customHeight="1" s="33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5" t="n"/>
      <c r="M150" s="84" t="n"/>
      <c r="N150" s="84" t="n"/>
      <c r="O150" s="84" t="n"/>
      <c r="P150" s="84" t="n"/>
      <c r="Q150" s="84" t="n"/>
      <c r="R150" s="84" t="n"/>
      <c r="S150" s="84" t="n"/>
    </row>
    <row r="151" ht="18.5" customHeight="1" s="33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84" t="n"/>
      <c r="N151" s="84" t="n"/>
      <c r="O151" s="84" t="n"/>
      <c r="P151" s="84" t="n"/>
      <c r="Q151" s="84" t="n"/>
      <c r="R151" s="84" t="n"/>
      <c r="S151" s="84" t="n"/>
    </row>
    <row r="152" ht="18.5" customHeight="1" s="33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5" t="n"/>
      <c r="M152" s="84" t="n"/>
      <c r="N152" s="84" t="n"/>
      <c r="O152" s="84" t="n"/>
      <c r="P152" s="84" t="n"/>
      <c r="Q152" s="84" t="n"/>
      <c r="R152" s="84" t="n"/>
      <c r="S152" s="84" t="n"/>
    </row>
    <row r="153" ht="18.5" customHeight="1" s="3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84" t="n"/>
      <c r="N153" s="84" t="n"/>
      <c r="O153" s="84" t="n"/>
      <c r="P153" s="84" t="n"/>
      <c r="Q153" s="84" t="n"/>
      <c r="R153" s="84" t="n"/>
      <c r="S153" s="84" t="n"/>
    </row>
    <row r="154" ht="18.5" customHeight="1" s="33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n"/>
      <c r="S154" s="84" t="n"/>
    </row>
    <row r="155" ht="18.5" customHeight="1" s="33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</row>
    <row r="156" ht="18.5" customHeight="1" s="33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5" t="n"/>
      <c r="M156" s="84" t="n"/>
      <c r="N156" s="84" t="n"/>
      <c r="O156" s="84" t="n"/>
      <c r="P156" s="84" t="n"/>
      <c r="Q156" s="84" t="n"/>
      <c r="R156" s="84" t="n"/>
      <c r="S156" s="84" t="n"/>
    </row>
    <row r="157" ht="18.5" customHeight="1" s="33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5" t="n"/>
      <c r="M157" s="84" t="n"/>
      <c r="N157" s="84" t="n"/>
      <c r="O157" s="84" t="n"/>
      <c r="P157" s="84" t="n"/>
      <c r="Q157" s="84" t="n"/>
      <c r="R157" s="84" t="n"/>
      <c r="S157" s="84" t="n"/>
    </row>
    <row r="158" ht="18.5" customHeight="1" s="33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n"/>
      <c r="S158" s="84" t="n"/>
    </row>
    <row r="159" ht="18.5" customHeight="1" s="33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5" t="n"/>
      <c r="M159" s="84" t="n"/>
      <c r="N159" s="84" t="n"/>
      <c r="O159" s="84" t="n"/>
      <c r="P159" s="84" t="n"/>
      <c r="Q159" s="84" t="n"/>
      <c r="R159" s="84" t="n"/>
      <c r="S159" s="84" t="n"/>
    </row>
    <row r="160" ht="18.5" customHeight="1" s="33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n"/>
      <c r="S160" s="84" t="n"/>
    </row>
    <row r="161" ht="18.5" customHeight="1" s="33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84" t="n"/>
      <c r="N161" s="84" t="n"/>
      <c r="O161" s="84" t="n"/>
      <c r="P161" s="84" t="n"/>
      <c r="Q161" s="84" t="n"/>
      <c r="R161" s="84" t="n"/>
      <c r="S161" s="84" t="n"/>
    </row>
    <row r="162" ht="18.5" customHeight="1" s="33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5" t="n"/>
      <c r="M162" s="84" t="n"/>
      <c r="N162" s="84" t="n"/>
      <c r="O162" s="84" t="n"/>
      <c r="P162" s="84" t="n"/>
      <c r="Q162" s="84" t="n"/>
      <c r="R162" s="84" t="n"/>
      <c r="S162" s="84" t="n"/>
    </row>
    <row r="163" ht="18.5" customHeight="1" s="3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84" t="n"/>
      <c r="N163" s="84" t="n"/>
      <c r="O163" s="84" t="n"/>
      <c r="P163" s="84" t="n"/>
      <c r="Q163" s="84" t="n"/>
      <c r="R163" s="84" t="n"/>
      <c r="S163" s="84" t="n"/>
    </row>
    <row r="164" ht="18.5" customHeight="1" s="33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n"/>
      <c r="S164" s="84" t="n"/>
    </row>
    <row r="165" ht="18.5" customHeight="1" s="33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5" t="n"/>
      <c r="M165" s="84" t="n"/>
      <c r="N165" s="84" t="n"/>
      <c r="O165" s="84" t="n"/>
      <c r="P165" s="84" t="n"/>
      <c r="Q165" s="84" t="n"/>
      <c r="R165" s="84" t="n"/>
      <c r="S165" s="84" t="n"/>
    </row>
    <row r="166" ht="18.5" customHeight="1" s="33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5" t="n"/>
      <c r="M166" s="84" t="n"/>
      <c r="N166" s="84" t="n"/>
      <c r="O166" s="84" t="n"/>
      <c r="P166" s="84" t="n"/>
      <c r="Q166" s="84" t="n"/>
      <c r="R166" s="84" t="n"/>
      <c r="S166" s="84" t="n"/>
    </row>
    <row r="167" ht="18.5" customHeight="1" s="33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5" t="n"/>
      <c r="M167" s="84" t="n"/>
      <c r="N167" s="84" t="n"/>
      <c r="O167" s="84" t="n"/>
      <c r="P167" s="84" t="n"/>
      <c r="Q167" s="84" t="n"/>
      <c r="R167" s="84" t="n"/>
      <c r="S167" s="84" t="n"/>
    </row>
    <row r="168" ht="18.5" customHeight="1" s="33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n"/>
      <c r="S168" s="84" t="n"/>
    </row>
    <row r="169" ht="18.5" customHeight="1" s="33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84" t="n"/>
      <c r="N169" s="84" t="n"/>
      <c r="O169" s="84" t="n"/>
      <c r="P169" s="84" t="n"/>
      <c r="Q169" s="84" t="n"/>
      <c r="R169" s="84" t="n"/>
      <c r="S169" s="84" t="n"/>
    </row>
    <row r="170" ht="18.5" customHeight="1" s="33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n"/>
      <c r="S170" s="84" t="n"/>
    </row>
    <row r="171" ht="18.5" customHeight="1" s="33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84" t="n"/>
      <c r="N171" s="84" t="n"/>
      <c r="O171" s="84" t="n"/>
      <c r="P171" s="84" t="n"/>
      <c r="Q171" s="84" t="n"/>
      <c r="R171" s="84" t="n"/>
      <c r="S171" s="84" t="n"/>
    </row>
    <row r="172" ht="18.5" customHeight="1" s="33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n"/>
      <c r="S172" s="84" t="n"/>
    </row>
    <row r="173" ht="18.5" customHeight="1" s="3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</row>
    <row r="174" ht="18.5" customHeight="1" s="33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5" t="n"/>
      <c r="M174" s="84" t="n"/>
      <c r="N174" s="84" t="n"/>
      <c r="O174" s="84" t="n"/>
      <c r="P174" s="84" t="n"/>
      <c r="Q174" s="84" t="n"/>
      <c r="R174" s="84" t="n"/>
      <c r="S174" s="84" t="n"/>
    </row>
    <row r="175" ht="18.5" customHeight="1" s="33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5" t="n"/>
      <c r="M175" s="84" t="n"/>
      <c r="N175" s="84" t="n"/>
      <c r="O175" s="84" t="n"/>
      <c r="P175" s="84" t="n"/>
      <c r="Q175" s="84" t="n"/>
      <c r="R175" s="84" t="n"/>
      <c r="S175" s="84" t="n"/>
    </row>
    <row r="176" ht="18.5" customHeight="1" s="33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n"/>
      <c r="S176" s="84" t="n"/>
    </row>
    <row r="177" ht="18.5" customHeight="1" s="33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</row>
    <row r="178" ht="18.5" customHeight="1" s="33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</row>
    <row r="179" ht="18.5" customHeight="1" s="33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</row>
    <row r="180" ht="18.5" customHeight="1" s="33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5" t="n"/>
      <c r="M180" s="84" t="n"/>
      <c r="N180" s="84" t="n"/>
      <c r="O180" s="84" t="n"/>
      <c r="P180" s="84" t="n"/>
      <c r="Q180" s="84" t="n"/>
      <c r="R180" s="84" t="n"/>
      <c r="S180" s="84" t="n"/>
    </row>
    <row r="181" ht="18.5" customHeight="1" s="33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5" t="n"/>
      <c r="M181" s="84" t="n"/>
      <c r="N181" s="84" t="n"/>
      <c r="O181" s="84" t="n"/>
      <c r="P181" s="84" t="n"/>
      <c r="Q181" s="84" t="n"/>
      <c r="R181" s="84" t="n"/>
      <c r="S181" s="84" t="n"/>
    </row>
    <row r="182" ht="18.5" customHeight="1" s="33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</row>
    <row r="183" ht="18.5" customHeight="1" s="3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</row>
    <row r="184" ht="18.5" customHeight="1" s="33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</row>
    <row r="185" ht="18.5" customHeight="1" s="33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</row>
    <row r="186" ht="18.5" customHeight="1" s="33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n"/>
      <c r="S186" s="84" t="n"/>
    </row>
    <row r="187" ht="18.5" customHeight="1" s="33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</row>
    <row r="188" ht="18.5" customHeight="1" s="33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</row>
    <row r="189" ht="18.5" customHeight="1" s="33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</row>
    <row r="190" ht="18.5" customHeight="1" s="33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n"/>
      <c r="S190" s="84" t="n"/>
    </row>
    <row r="191" ht="18.5" customHeight="1" s="33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</row>
    <row r="192" ht="18.5" customHeight="1" s="33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</row>
    <row r="193" ht="18.5" customHeight="1" s="3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</row>
    <row r="194" ht="18.5" customHeight="1" s="33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n"/>
      <c r="S194" s="84" t="n"/>
    </row>
    <row r="195" ht="18.5" customHeight="1" s="33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</row>
    <row r="196" ht="18.5" customHeight="1" s="33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n"/>
      <c r="S196" s="84" t="n"/>
    </row>
    <row r="197" ht="18.5" customHeight="1" s="33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5" t="n"/>
      <c r="M197" s="84" t="n"/>
      <c r="N197" s="84" t="n"/>
      <c r="O197" s="84" t="n"/>
      <c r="P197" s="84" t="n"/>
      <c r="Q197" s="84" t="n"/>
      <c r="R197" s="84" t="n"/>
      <c r="S197" s="84" t="n"/>
    </row>
    <row r="198" ht="18.5" customHeight="1" s="33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n"/>
      <c r="S198" s="84" t="n"/>
    </row>
  </sheetData>
  <conditionalFormatting sqref="L2:L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  <cfRule type="cellIs" rank="0" priority="6" equalAverage="0" operator="equal" aboveAverage="0" dxfId="4" text="" percent="0" bottom="0">
      <formula>"No aplica"</formula>
    </cfRule>
  </conditionalFormatting>
  <conditionalFormatting sqref="M2:M200">
    <cfRule type="expression" rank="0" priority="7" equalAverage="0" aboveAverage="0" dxfId="5" text="" percent="0" bottom="0">
      <formula>AND($L2="Fallido",$M2="")</formula>
    </cfRule>
  </conditionalFormatting>
  <dataValidations count="3">
    <dataValidation sqref="D2:D200" showDropDown="0" showInputMessage="0" showErrorMessage="0" allowBlank="1" errorTitle="Valor no válido" error="Elige un valor de la lista." type="list" errorStyle="stop" operator="between">
      <formula1>"Funcional,Negativa,Límite,Seguridad,E2E,Regresión"</formula1>
      <formula2>0</formula2>
    </dataValidation>
    <dataValidation sqref="E2:E200" showDropDown="0" showInputMessage="0" showErrorMessage="0" allowBlank="1" errorTitle="Valor no válido" error="Elige un valor de la lista." type="list" errorStyle="stop" operator="between">
      <formula1>"Crítica,Alta,Media,Baja"</formula1>
      <formula2>0</formula2>
    </dataValidation>
    <dataValidation sqref="L2:L200" showDropDown="0" showInputMessage="0" showErrorMessage="0" allowBlank="1" errorTitle="Valor no válido" error="Elige un valor de la lista." type="list" errorStyle="stop" operator="between">
      <formula1>"Pendiente,Aprobado,Fallido,Bloqueado,No aplica"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S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D2" activeCellId="0" sqref="D2"/>
    </sheetView>
  </sheetViews>
  <sheetFormatPr baseColWidth="8" defaultColWidth="8.6796875" defaultRowHeight="15" zeroHeight="0" outlineLevelRow="0"/>
  <cols>
    <col width="8" customWidth="1" style="32" min="1" max="1"/>
    <col width="11" customWidth="1" style="32" min="2" max="2"/>
    <col width="30" customWidth="1" style="32" min="3" max="4"/>
    <col width="13" customWidth="1" style="33" min="4" max="4"/>
    <col width="10" customWidth="1" style="32" min="5" max="6"/>
    <col width="13" customWidth="1" style="33" min="6" max="6"/>
    <col width="52" customWidth="1" style="32" min="7" max="7"/>
    <col width="30" customWidth="1" style="32" min="8" max="8"/>
    <col width="34" customWidth="1" style="32" min="9" max="9"/>
    <col width="14" customWidth="1" style="32" min="10" max="10"/>
    <col width="30" customWidth="1" style="32" min="11" max="11"/>
    <col width="13" customWidth="1" style="32" min="12" max="12"/>
    <col width="14" customWidth="1" style="32" min="13" max="13"/>
    <col width="11" customWidth="1" style="32" min="14" max="14"/>
    <col width="16" customWidth="1" style="32" min="15" max="15"/>
    <col width="30" customWidth="1" style="32" min="16" max="16"/>
    <col width="10" customWidth="1" style="32" min="17" max="17"/>
    <col width="20" customWidth="1" style="33" min="18" max="18"/>
    <col width="44" customWidth="1" style="33" min="19" max="19"/>
  </cols>
  <sheetData>
    <row r="1" ht="47.5" customHeight="1" s="33">
      <c r="A1" s="81" t="inlineStr">
        <is>
          <t>ID</t>
        </is>
      </c>
      <c r="B1" s="81" t="inlineStr">
        <is>
          <t>Nivel</t>
        </is>
      </c>
      <c r="C1" s="81" t="inlineStr">
        <is>
          <t>Caso</t>
        </is>
      </c>
      <c r="D1" s="81" t="inlineStr">
        <is>
          <t>Historia</t>
        </is>
      </c>
      <c r="E1" s="81" t="inlineStr">
        <is>
          <t>Requisito</t>
        </is>
      </c>
      <c r="F1" s="81" t="inlineStr">
        <is>
          <t>Prioridad</t>
        </is>
      </c>
      <c r="G1" s="81" t="inlineStr">
        <is>
          <t>Qué verifica</t>
        </is>
      </c>
      <c r="H1" s="81" t="inlineStr">
        <is>
          <t>Por qué está en la suite</t>
        </is>
      </c>
      <c r="I1" s="81" t="inlineStr">
        <is>
          <t>Cuándo se ejecuta</t>
        </is>
      </c>
      <c r="J1" s="81" t="inlineStr">
        <is>
          <t>Defecto relacionado</t>
        </is>
      </c>
      <c r="K1" s="81" t="inlineStr">
        <is>
          <t>Script (qa/automatizacion)</t>
        </is>
      </c>
      <c r="L1" s="81" t="inlineStr">
        <is>
          <t>Resultado previo 28/10/2026</t>
        </is>
      </c>
      <c r="M1" s="81" t="inlineStr">
        <is>
          <t>Resultado regresión</t>
        </is>
      </c>
      <c r="N1" s="81" t="inlineStr">
        <is>
          <t>Fecha</t>
        </is>
      </c>
      <c r="O1" s="81" t="inlineStr">
        <is>
          <t>Ejecutado por</t>
        </is>
      </c>
      <c r="P1" s="81" t="inlineStr">
        <is>
          <t>Observación</t>
        </is>
      </c>
      <c r="Q1" s="81" t="inlineStr">
        <is>
          <t>Sprint</t>
        </is>
      </c>
      <c r="R1" s="81" t="inlineStr">
        <is>
          <t>Evidencia</t>
        </is>
      </c>
      <c r="S1" s="81" t="inlineStr">
        <is>
          <t>Fallos de entorno</t>
        </is>
      </c>
    </row>
    <row r="2" ht="47.5" customHeight="1" s="33">
      <c r="A2" s="71" t="inlineStr">
        <is>
          <t>RG-01</t>
        </is>
      </c>
      <c r="B2" s="71" t="inlineStr">
        <is>
          <t>Reprueba</t>
        </is>
      </c>
      <c r="C2" s="71" t="inlineStr">
        <is>
          <t>Base de datos en modo privado</t>
        </is>
      </c>
      <c r="D2" s="71" t="inlineStr">
        <is>
          <t>HT-06</t>
        </is>
      </c>
      <c r="E2" s="71" t="inlineStr">
        <is>
          <t>RQ-HT06-02</t>
        </is>
      </c>
      <c r="F2" s="71" t="inlineStr">
        <is>
          <t>Alta</t>
        </is>
      </c>
      <c r="G2" s="71" t="inlineStr">
        <is>
          <t>publiclyAccessible = False y TCP al 5432 rechazado desde fuera</t>
        </is>
      </c>
      <c r="H2" s="71" t="inlineStr">
        <is>
          <t>Reprueba DEF-01</t>
        </is>
      </c>
      <c r="I2" s="71" t="inlineStr">
        <is>
          <t>Al corregir DEF-01</t>
        </is>
      </c>
      <c r="J2" s="71" t="inlineStr">
        <is>
          <t>DEF-01</t>
        </is>
      </c>
      <c r="K2" s="71" t="inlineStr">
        <is>
          <t>verificar_lightsail.sh (CloudShell)</t>
        </is>
      </c>
      <c r="L2" s="86" t="inlineStr">
        <is>
          <t>Fallido</t>
        </is>
      </c>
      <c r="M2" s="83" t="inlineStr">
        <is>
          <t>Pendiente</t>
        </is>
      </c>
      <c r="N2" s="82" t="n"/>
      <c r="O2" s="82" t="n"/>
      <c r="P2" s="87" t="n"/>
      <c r="Q2" s="82" t="n"/>
      <c r="R2" s="82" t="n"/>
      <c r="S2" s="82" t="n"/>
    </row>
    <row r="3" ht="33" customHeight="1" s="33">
      <c r="A3" s="71" t="inlineStr">
        <is>
          <t>RG-02</t>
        </is>
      </c>
      <c r="B3" s="71" t="inlineStr">
        <is>
          <t>Reprueba</t>
        </is>
      </c>
      <c r="C3" s="71" t="inlineStr">
        <is>
          <t>Historial sin secretos o secretos rotados</t>
        </is>
      </c>
      <c r="D3" s="71" t="inlineStr">
        <is>
          <t>HT-06</t>
        </is>
      </c>
      <c r="E3" s="71" t="inlineStr">
        <is>
          <t>RQ-HT06-05</t>
        </is>
      </c>
      <c r="F3" s="71" t="inlineStr">
        <is>
          <t>Alta</t>
        </is>
      </c>
      <c r="G3" s="71" t="inlineStr">
        <is>
          <t>Los dos tests de historial pasan</t>
        </is>
      </c>
      <c r="H3" s="71" t="inlineStr">
        <is>
          <t>Reprueba DEF-02</t>
        </is>
      </c>
      <c r="I3" s="71" t="inlineStr">
        <is>
          <t>Al corregir DEF-02</t>
        </is>
      </c>
      <c r="J3" s="71" t="inlineStr">
        <is>
          <t>DEF-02</t>
        </is>
      </c>
      <c r="K3" s="71" t="inlineStr">
        <is>
          <t>test_ht06_local.py::test_ca5_historial_git_sin_contrasena_de_bd_remota</t>
        </is>
      </c>
      <c r="L3" s="86" t="inlineStr">
        <is>
          <t>Fallido</t>
        </is>
      </c>
      <c r="M3" s="83" t="inlineStr">
        <is>
          <t>Pendiente</t>
        </is>
      </c>
      <c r="N3" s="82" t="n"/>
      <c r="O3" s="82" t="n"/>
      <c r="P3" s="87" t="n"/>
      <c r="Q3" s="82" t="n"/>
      <c r="R3" s="82" t="n"/>
      <c r="S3" s="82" t="n"/>
    </row>
    <row r="4" ht="33" customHeight="1" s="33">
      <c r="A4" s="71" t="inlineStr">
        <is>
          <t>RG-03</t>
        </is>
      </c>
      <c r="B4" s="71" t="inlineStr">
        <is>
          <t>Reprueba</t>
        </is>
      </c>
      <c r="C4" s="71" t="inlineStr">
        <is>
          <t>docker compose arranca y el worker se conecta a la BD</t>
        </is>
      </c>
      <c r="D4" s="71" t="inlineStr">
        <is>
          <t>HT-06</t>
        </is>
      </c>
      <c r="E4" s="71" t="inlineStr">
        <is>
          <t>RQ-HT06-01</t>
        </is>
      </c>
      <c r="F4" s="71" t="inlineStr">
        <is>
          <t>Media</t>
        </is>
      </c>
      <c r="G4" s="71" t="inlineStr">
        <is>
          <t>El worker ejecuta sondear_conexiones_ftp sin errores de autenticacion</t>
        </is>
      </c>
      <c r="H4" s="71" t="inlineStr">
        <is>
          <t>Reprueba DEF-03</t>
        </is>
      </c>
      <c r="I4" s="71" t="inlineStr">
        <is>
          <t>Al corregir DEF-03</t>
        </is>
      </c>
      <c r="J4" s="71" t="inlineStr">
        <is>
          <t>DEF-03</t>
        </is>
      </c>
      <c r="K4" s="71" t="inlineStr">
        <is>
          <t>docker compose --profile full up -d --build</t>
        </is>
      </c>
      <c r="L4" s="86" t="inlineStr">
        <is>
          <t>Fallido</t>
        </is>
      </c>
      <c r="M4" s="83" t="inlineStr">
        <is>
          <t>Pendiente</t>
        </is>
      </c>
      <c r="N4" s="82" t="n"/>
      <c r="O4" s="82" t="n"/>
      <c r="P4" s="87" t="n"/>
      <c r="Q4" s="82" t="n"/>
      <c r="R4" s="82" t="n"/>
      <c r="S4" s="82" t="n"/>
    </row>
    <row r="5" ht="47.5" customHeight="1" s="33">
      <c r="A5" s="71" t="inlineStr">
        <is>
          <t>RG-04</t>
        </is>
      </c>
      <c r="B5" s="71" t="inlineStr">
        <is>
          <t>Humo</t>
        </is>
      </c>
      <c r="C5" s="71" t="inlineStr">
        <is>
          <t>Suite local de HT-06 completa</t>
        </is>
      </c>
      <c r="D5" s="71" t="inlineStr">
        <is>
          <t>HT-06</t>
        </is>
      </c>
      <c r="E5" s="71" t="inlineStr">
        <is>
          <t>RQ-HT06-01</t>
        </is>
      </c>
      <c r="F5" s="71" t="inlineStr">
        <is>
          <t>Alta</t>
        </is>
      </c>
      <c r="G5" s="71" t="inlineStr">
        <is>
          <t>Los 22 tests estaticos de HT-06</t>
        </is>
      </c>
      <c r="H5" s="71" t="inlineStr">
        <is>
          <t>Flujo principal de la HU</t>
        </is>
      </c>
      <c r="I5" s="71" t="inlineStr">
        <is>
          <t>Cada ronda</t>
        </is>
      </c>
      <c r="J5" s="71" t="inlineStr">
        <is>
          <t>—</t>
        </is>
      </c>
      <c r="K5" s="71" t="inlineStr">
        <is>
          <t>backend/qa/03_Evidencias/HT-06/test_ht06_local.py</t>
        </is>
      </c>
      <c r="L5" s="86" t="inlineStr">
        <is>
          <t>Fallido</t>
        </is>
      </c>
      <c r="M5" s="83" t="inlineStr">
        <is>
          <t>Pendiente</t>
        </is>
      </c>
      <c r="N5" s="82" t="n"/>
      <c r="O5" s="82" t="n"/>
      <c r="P5" s="87" t="n"/>
      <c r="Q5" s="82" t="n"/>
      <c r="R5" s="82" t="n"/>
      <c r="S5" s="82" t="n"/>
    </row>
    <row r="6" ht="47.5" customHeight="1" s="33">
      <c r="A6" s="71" t="inlineStr">
        <is>
          <t>RG-05</t>
        </is>
      </c>
      <c r="B6" s="71" t="inlineStr">
        <is>
          <t>Reprueba</t>
        </is>
      </c>
      <c r="C6" s="71" t="inlineStr">
        <is>
          <t>El sondeo FTP no revisa un dispositivo desactivado</t>
        </is>
      </c>
      <c r="D6" s="71" t="inlineStr">
        <is>
          <t>HU-18</t>
        </is>
      </c>
      <c r="E6" s="71" t="inlineStr">
        <is>
          <t>RQ-HU18-02</t>
        </is>
      </c>
      <c r="F6" s="71" t="inlineStr">
        <is>
          <t>Alta</t>
        </is>
      </c>
      <c r="G6" s="71" t="inlineStr">
        <is>
          <t>Tras desactivar, el sondeo no se conecta al FTP ni registra archivos de ese equipo</t>
        </is>
      </c>
      <c r="H6" s="71" t="inlineStr">
        <is>
          <t>Reprueba DEF-04</t>
        </is>
      </c>
      <c r="I6" s="71" t="inlineStr">
        <is>
          <t>Al corregir DEF-04</t>
        </is>
      </c>
      <c r="J6" s="71" t="inlineStr">
        <is>
          <t>DEF-04</t>
        </is>
      </c>
      <c r="K6" s="71" t="inlineStr">
        <is>
          <t>test_hu18_qa.py::TestPollingFTPPP190::test_cp_dispositivo_desactivado_no_se_sondea</t>
        </is>
      </c>
      <c r="L6" s="86" t="inlineStr">
        <is>
          <t>Fallido</t>
        </is>
      </c>
      <c r="M6" s="83" t="inlineStr">
        <is>
          <t>Aprobado</t>
        </is>
      </c>
      <c r="N6" s="82" t="inlineStr">
        <is>
          <t>30/10/2026</t>
        </is>
      </c>
      <c r="O6" s="82" t="inlineStr">
        <is>
          <t>QA</t>
        </is>
      </c>
      <c r="P6" s="87" t="inlineStr">
        <is>
          <t>Aprobado tras la corrección dccdb60</t>
        </is>
      </c>
      <c r="Q6" s="82" t="n"/>
      <c r="R6" s="82" t="n"/>
      <c r="S6" s="82" t="n"/>
    </row>
    <row r="7" ht="47.5" customHeight="1" s="33">
      <c r="A7" s="71" t="inlineStr">
        <is>
          <t>RG-06</t>
        </is>
      </c>
      <c r="B7" s="71" t="inlineStr">
        <is>
          <t>Reprueba</t>
        </is>
      </c>
      <c r="C7" s="71" t="inlineStr">
        <is>
          <t>Polling real contra un FTP local deja de ingerir al desactivar</t>
        </is>
      </c>
      <c r="D7" s="71" t="inlineStr">
        <is>
          <t>HU-18</t>
        </is>
      </c>
      <c r="E7" s="71" t="inlineStr">
        <is>
          <t>RQ-HU18-02</t>
        </is>
      </c>
      <c r="F7" s="71" t="inlineStr">
        <is>
          <t>Alta</t>
        </is>
      </c>
      <c r="G7" s="71" t="inlineStr">
        <is>
          <t>H_despues.dat (subido tras desactivar) no se registra con un FTP verdadero</t>
        </is>
      </c>
      <c r="H7" s="71" t="inlineStr">
        <is>
          <t>Reprueba DEF-04</t>
        </is>
      </c>
      <c r="I7" s="71" t="inlineStr">
        <is>
          <t>Al corregir DEF-04</t>
        </is>
      </c>
      <c r="J7" s="71" t="inlineStr">
        <is>
          <t>DEF-04</t>
        </is>
      </c>
      <c r="K7" s="71" t="inlineStr">
        <is>
          <t>test_integracion_ftp_real.py::test_cp_ftp_real_desactivar_detiene_el_polling</t>
        </is>
      </c>
      <c r="L7" s="86" t="inlineStr">
        <is>
          <t>Fallido</t>
        </is>
      </c>
      <c r="M7" s="83" t="inlineStr">
        <is>
          <t>Aprobado</t>
        </is>
      </c>
      <c r="N7" s="82" t="inlineStr">
        <is>
          <t>30/10/2026</t>
        </is>
      </c>
      <c r="O7" s="82" t="inlineStr">
        <is>
          <t>QA</t>
        </is>
      </c>
      <c r="P7" s="87" t="inlineStr">
        <is>
          <t>Aprobado tras la corrección dccdb60</t>
        </is>
      </c>
      <c r="Q7" s="82" t="n"/>
      <c r="R7" s="82" t="n"/>
      <c r="S7" s="82" t="n"/>
    </row>
    <row r="8" ht="47.5" customHeight="1" s="33">
      <c r="A8" s="71" t="inlineStr">
        <is>
          <t>RG-07</t>
        </is>
      </c>
      <c r="B8" s="71" t="inlineStr">
        <is>
          <t>Humo</t>
        </is>
      </c>
      <c r="C8" s="71" t="inlineStr">
        <is>
          <t>Suite pytest de HU-18 completa</t>
        </is>
      </c>
      <c r="D8" s="71" t="inlineStr">
        <is>
          <t>HU-18</t>
        </is>
      </c>
      <c r="E8" s="71" t="inlineStr">
        <is>
          <t>RQ-HU18-02</t>
        </is>
      </c>
      <c r="F8" s="71" t="inlineStr">
        <is>
          <t>Alta</t>
        </is>
      </c>
      <c r="G8" s="71" t="inlineStr">
        <is>
          <t>Los 21 tests de test_hu18_qa.py: desactivar, reactivar, listado, sondeo, historial y roles</t>
        </is>
      </c>
      <c r="H8" s="71" t="inlineStr">
        <is>
          <t>Flujo principal de la HU</t>
        </is>
      </c>
      <c r="I8" s="71" t="inlineStr">
        <is>
          <t>Cada ronda</t>
        </is>
      </c>
      <c r="J8" s="71" t="inlineStr">
        <is>
          <t>—</t>
        </is>
      </c>
      <c r="K8" s="71" t="inlineStr">
        <is>
          <t>backend/qa/03_Evidencias/HU18/test_hu18_qa.py</t>
        </is>
      </c>
      <c r="L8" s="86" t="inlineStr">
        <is>
          <t>Fallido</t>
        </is>
      </c>
      <c r="M8" s="83" t="inlineStr">
        <is>
          <t>Aprobado</t>
        </is>
      </c>
      <c r="N8" s="82" t="inlineStr">
        <is>
          <t>30/10/2026</t>
        </is>
      </c>
      <c r="O8" s="82" t="inlineStr">
        <is>
          <t>QA</t>
        </is>
      </c>
      <c r="P8" s="87" t="inlineStr">
        <is>
          <t>21 de 21 aprobados</t>
        </is>
      </c>
      <c r="Q8" s="82" t="n"/>
      <c r="R8" s="82" t="n"/>
      <c r="S8" s="82" t="n"/>
    </row>
    <row r="9" ht="47.5" customHeight="1" s="33">
      <c r="A9" s="71" t="inlineStr">
        <is>
          <t>RG-08</t>
        </is>
      </c>
      <c r="B9" s="71" t="inlineStr">
        <is>
          <t>Humo</t>
        </is>
      </c>
      <c r="C9" s="71" t="inlineStr">
        <is>
          <t>Flujos de UI de HU-18 con Playwright</t>
        </is>
      </c>
      <c r="D9" s="71" t="inlineStr">
        <is>
          <t>HU-18</t>
        </is>
      </c>
      <c r="E9" s="71" t="inlineStr">
        <is>
          <t>RQ-HU18-01</t>
        </is>
      </c>
      <c r="F9" s="71" t="inlineStr">
        <is>
          <t>Alta</t>
        </is>
      </c>
      <c r="G9" s="71" t="inlineStr">
        <is>
          <t>Los 7 tests de hu18.spec.mjs: modal, cancelar, confirmar, persistencia, reactivar y botones por rol</t>
        </is>
      </c>
      <c r="H9" s="71" t="inlineStr">
        <is>
          <t>Flujo principal de la HU</t>
        </is>
      </c>
      <c r="I9" s="71" t="inlineStr">
        <is>
          <t>Cada ronda</t>
        </is>
      </c>
      <c r="J9" s="71" t="inlineStr">
        <is>
          <t>—</t>
        </is>
      </c>
      <c r="K9" s="71" t="inlineStr">
        <is>
          <t>backend/qa/playwright_hu18/hu18.spec.mjs</t>
        </is>
      </c>
      <c r="L9" s="86" t="inlineStr">
        <is>
          <t>Aprobado</t>
        </is>
      </c>
      <c r="M9" s="83" t="inlineStr">
        <is>
          <t>Pendiente</t>
        </is>
      </c>
      <c r="N9" s="82" t="n"/>
      <c r="O9" s="82" t="n"/>
      <c r="P9" s="87" t="inlineStr">
        <is>
          <t>7 de 7 aprobados (ronda 1); no reejecutada: dccdb60 no cambia la UI</t>
        </is>
      </c>
      <c r="Q9" s="82" t="n"/>
      <c r="R9" s="82" t="n"/>
      <c r="S9" s="82" t="n"/>
    </row>
    <row r="10" ht="47.5" customHeight="1" s="33">
      <c r="A10" s="71" t="inlineStr">
        <is>
          <t>RG-09</t>
        </is>
      </c>
      <c r="B10" s="71" t="inlineStr">
        <is>
          <t>Regresión</t>
        </is>
      </c>
      <c r="C10" s="71" t="inlineStr">
        <is>
          <t>Suites existentes de dispositivos, mapeos, cola de ingesta y tareas</t>
        </is>
      </c>
      <c r="D10" s="71" t="inlineStr">
        <is>
          <t>HU-18</t>
        </is>
      </c>
      <c r="E10" s="71" t="inlineStr">
        <is>
          <t>RQ-HU18-02</t>
        </is>
      </c>
      <c r="F10" s="71" t="inlineStr">
        <is>
          <t>Media</t>
        </is>
      </c>
      <c r="G10" s="71" t="inlineStr">
        <is>
          <t>Los 214 tests existentes de dispositivos, mapeos, cola de ingesta y tareas (160 aprobados, 54 fallidos por la regla de suscripción)</t>
        </is>
      </c>
      <c r="H10" s="71" t="inlineStr">
        <is>
          <t>La HU toca el listado y el sondeo, que ya tenían pruebas</t>
        </is>
      </c>
      <c r="I10" s="71" t="inlineStr">
        <is>
          <t>Al corregir OBS-11 y DEF-04</t>
        </is>
      </c>
      <c r="J10" s="71" t="inlineStr">
        <is>
          <t>—</t>
        </is>
      </c>
      <c r="K10" s="71" t="inlineStr">
        <is>
          <t>tests/routers/test_dispositivos.py, test_mapeos.py, test_ingesta_cola.py y tests/tasks</t>
        </is>
      </c>
      <c r="L10" s="86" t="inlineStr">
        <is>
          <t>Fallido</t>
        </is>
      </c>
      <c r="M10" s="83" t="inlineStr">
        <is>
          <t>Fallido</t>
        </is>
      </c>
      <c r="N10" s="82" t="inlineStr">
        <is>
          <t>30/10/2026</t>
        </is>
      </c>
      <c r="O10" s="82" t="inlineStr">
        <is>
          <t>QA</t>
        </is>
      </c>
      <c r="P10" s="87" t="inlineStr">
        <is>
          <t>Ver OBS-11 (54 de 214; tests/tasks pasa completo)</t>
        </is>
      </c>
      <c r="Q10" s="82" t="n"/>
      <c r="R10" s="82" t="n"/>
      <c r="S10" s="82" t="n"/>
    </row>
    <row r="11" ht="47.5" customHeight="1" s="33">
      <c r="A11" s="71" t="inlineStr">
        <is>
          <t>RG-10</t>
        </is>
      </c>
      <c r="B11" s="71" t="inlineStr">
        <is>
          <t>Humo</t>
        </is>
      </c>
      <c r="C11" s="71" t="inlineStr">
        <is>
          <t>Suite pytest de QA de HU-26: listado, añadir sin duplicados, vista y quitar</t>
        </is>
      </c>
      <c r="D11" s="71" t="inlineStr">
        <is>
          <t>HU-26</t>
        </is>
      </c>
      <c r="E11" s="71" t="inlineStr">
        <is>
          <t>RQ-HU26-02</t>
        </is>
      </c>
      <c r="F11" s="71" t="inlineStr">
        <is>
          <t>Alta</t>
        </is>
      </c>
      <c r="G11" s="71" t="inlineStr">
        <is>
          <t>Los 23 casos de API y el xfail documentado de OBS-14</t>
        </is>
      </c>
      <c r="H11" s="71" t="inlineStr">
        <is>
          <t>Flujo principal de la HU por API</t>
        </is>
      </c>
      <c r="I11" s="71" t="inlineStr">
        <is>
          <t>Cada ronda</t>
        </is>
      </c>
      <c r="J11" s="71" t="inlineStr">
        <is>
          <t>—</t>
        </is>
      </c>
      <c r="K11" s="71" t="inlineStr">
        <is>
          <t>qa/03_Evidencias/HU26/test_hu26_qa.py</t>
        </is>
      </c>
      <c r="L11" s="86" t="inlineStr">
        <is>
          <t>—</t>
        </is>
      </c>
      <c r="M11" s="83" t="inlineStr">
        <is>
          <t>Aprobado</t>
        </is>
      </c>
      <c r="N11" s="82" t="inlineStr">
        <is>
          <t>30/10/2026</t>
        </is>
      </c>
      <c r="O11" s="82" t="inlineStr">
        <is>
          <t>QA</t>
        </is>
      </c>
      <c r="P11" s="87" t="inlineStr">
        <is>
          <t>23 aprobadas y 1 xfail esperado (OBS-14)</t>
        </is>
      </c>
      <c r="Q11" s="82" t="n"/>
      <c r="R11" s="82" t="inlineStr">
        <is>
          <t>EV-HU26-INF-01</t>
        </is>
      </c>
      <c r="S11" s="82" t="n"/>
    </row>
    <row r="12" ht="47.5" customHeight="1" s="33">
      <c r="A12" s="71" t="inlineStr">
        <is>
          <t>RG-11</t>
        </is>
      </c>
      <c r="B12" s="71" t="inlineStr">
        <is>
          <t>Humo</t>
        </is>
      </c>
      <c r="C12" s="71" t="inlineStr">
        <is>
          <t>Flujo UI de HU-26: crear panel, añadir, no duplicar, quitar y recargar</t>
        </is>
      </c>
      <c r="D12" s="71" t="inlineStr">
        <is>
          <t>HU-26</t>
        </is>
      </c>
      <c r="E12" s="71" t="inlineStr">
        <is>
          <t>RQ-HU26-03</t>
        </is>
      </c>
      <c r="F12" s="71" t="inlineStr">
        <is>
          <t>Alta</t>
        </is>
      </c>
      <c r="G12" s="71" t="inlineStr">
        <is>
          <t>Los 8 recorridos de Playwright como Cliente Final</t>
        </is>
      </c>
      <c r="H12" s="71" t="inlineStr">
        <is>
          <t>Flujo principal de la HU en pantalla</t>
        </is>
      </c>
      <c r="I12" s="71" t="inlineStr">
        <is>
          <t>Cada ronda</t>
        </is>
      </c>
      <c r="J12" s="71" t="inlineStr">
        <is>
          <t>—</t>
        </is>
      </c>
      <c r="K12" s="71" t="inlineStr">
        <is>
          <t>qa/playwright_hu26/hu26.spec.mjs</t>
        </is>
      </c>
      <c r="L12" s="86" t="inlineStr">
        <is>
          <t>—</t>
        </is>
      </c>
      <c r="M12" s="83" t="inlineStr">
        <is>
          <t>Aprobado</t>
        </is>
      </c>
      <c r="N12" s="82" t="inlineStr">
        <is>
          <t>30/10/2026</t>
        </is>
      </c>
      <c r="O12" s="82" t="inlineStr">
        <is>
          <t>QA</t>
        </is>
      </c>
      <c r="P12" s="87" t="inlineStr">
        <is>
          <t>8 aprobadas</t>
        </is>
      </c>
      <c r="Q12" s="82" t="n"/>
      <c r="R12" s="82" t="inlineStr">
        <is>
          <t>EV-HU26-INF-03</t>
        </is>
      </c>
      <c r="S12" s="82" t="n"/>
    </row>
    <row r="13" ht="47.5" customHeight="1" s="33">
      <c r="A13" s="71" t="inlineStr">
        <is>
          <t>RG-12</t>
        </is>
      </c>
      <c r="B13" s="71" t="inlineStr">
        <is>
          <t>Regresión</t>
        </is>
      </c>
      <c r="C13" s="71" t="inlineStr">
        <is>
          <t>Suites existentes de paneles, ubicaciones, mapa del cliente, permisos de usuario y entorno operativo</t>
        </is>
      </c>
      <c r="D13" s="71" t="inlineStr">
        <is>
          <t>HU-26</t>
        </is>
      </c>
      <c r="E13" s="71" t="inlineStr">
        <is>
          <t>RQ-HU26-02</t>
        </is>
      </c>
      <c r="F13" s="71" t="inlineStr">
        <is>
          <t>Media</t>
        </is>
      </c>
      <c r="G13" s="71" t="inlineStr">
        <is>
          <t>Las 165 pruebas existentes de esas suites</t>
        </is>
      </c>
      <c r="H13" s="71" t="inlineStr">
        <is>
          <t>La HU toca routers/panel.py, que ya tenía pruebas</t>
        </is>
      </c>
      <c r="I13" s="71" t="inlineStr">
        <is>
          <t>Cada ronda y al corregir OBS-11</t>
        </is>
      </c>
      <c r="J13" s="71" t="inlineStr">
        <is>
          <t>—</t>
        </is>
      </c>
      <c r="K13" s="71" t="inlineStr">
        <is>
          <t>tests/routers/test_paneles.py, test_ubicaciones.py, test_mapa_cliente.py, test_usuarios_permisos.py, test_entorno_operativo.py</t>
        </is>
      </c>
      <c r="L13" s="86" t="inlineStr">
        <is>
          <t>—</t>
        </is>
      </c>
      <c r="M13" s="83" t="inlineStr">
        <is>
          <t>Aprobado</t>
        </is>
      </c>
      <c r="N13" s="82" t="inlineStr">
        <is>
          <t>30/10/2026</t>
        </is>
      </c>
      <c r="O13" s="82" t="inlineStr">
        <is>
          <t>QA</t>
        </is>
      </c>
      <c r="P13" s="87" t="inlineStr">
        <is>
          <t>165 de 165 con PLAN_LIMITS_REQUIRE_SUBSCRIPTION=false; en modo normal 30 fallan por OBS-11 (fixtures sin suscripción), ajenos a HU-26</t>
        </is>
      </c>
      <c r="Q13" s="82" t="n"/>
      <c r="R13" s="82" t="inlineStr">
        <is>
          <t>EV-HU26-INF-02</t>
        </is>
      </c>
      <c r="S13" s="82" t="n"/>
    </row>
    <row r="14" ht="47.5" customHeight="1" s="33">
      <c r="A14" s="71" t="inlineStr">
        <is>
          <t>RG-13</t>
        </is>
      </c>
      <c r="B14" s="71" t="inlineStr">
        <is>
          <t>Humo</t>
        </is>
      </c>
      <c r="C14" s="71" t="inlineStr">
        <is>
          <t>Suite pytest de QA de HU-34: tipos, guardar, editar, eliminar, orden y acceso</t>
        </is>
      </c>
      <c r="D14" s="71" t="inlineStr">
        <is>
          <t>HU-34</t>
        </is>
      </c>
      <c r="E14" s="71" t="inlineStr">
        <is>
          <t>RQ-HU34-02</t>
        </is>
      </c>
      <c r="F14" s="71" t="inlineStr">
        <is>
          <t>Alta</t>
        </is>
      </c>
      <c r="G14" s="71" t="inlineStr">
        <is>
          <t>Los 30 casos de API</t>
        </is>
      </c>
      <c r="H14" s="71" t="inlineStr">
        <is>
          <t>Flujo principal de la HU por API</t>
        </is>
      </c>
      <c r="I14" s="71" t="inlineStr">
        <is>
          <t>Cada ronda</t>
        </is>
      </c>
      <c r="J14" s="71" t="inlineStr">
        <is>
          <t>—</t>
        </is>
      </c>
      <c r="K14" s="71" t="inlineStr">
        <is>
          <t>qa/03_Evidencias/HU34/test_hu34_qa.py</t>
        </is>
      </c>
      <c r="L14" s="86" t="inlineStr">
        <is>
          <t>—</t>
        </is>
      </c>
      <c r="M14" s="83" t="inlineStr">
        <is>
          <t>Aprobado</t>
        </is>
      </c>
      <c r="N14" s="82" t="inlineStr">
        <is>
          <t>30/10/2026</t>
        </is>
      </c>
      <c r="O14" s="82" t="inlineStr">
        <is>
          <t>QA</t>
        </is>
      </c>
      <c r="P14" s="87" t="inlineStr">
        <is>
          <t>30 aprobadas</t>
        </is>
      </c>
      <c r="Q14" s="82" t="n"/>
      <c r="R14" s="82" t="inlineStr">
        <is>
          <t>EV-HU34-INF-01</t>
        </is>
      </c>
      <c r="S14" s="82" t="n"/>
    </row>
    <row r="15" ht="47.5" customHeight="1" s="33">
      <c r="A15" s="71" t="inlineStr">
        <is>
          <t>RG-14</t>
        </is>
      </c>
      <c r="B15" s="71" t="inlineStr">
        <is>
          <t>Humo</t>
        </is>
      </c>
      <c r="C15" s="71" t="inlineStr">
        <is>
          <t>Flujo UI de HU-34: añadir, editar, eliminar y arrastrar widgets con recarga</t>
        </is>
      </c>
      <c r="D15" s="71" t="inlineStr">
        <is>
          <t>HU-34</t>
        </is>
      </c>
      <c r="E15" s="71" t="inlineStr">
        <is>
          <t>RQ-HU34-05</t>
        </is>
      </c>
      <c r="F15" s="71" t="inlineStr">
        <is>
          <t>Alta</t>
        </is>
      </c>
      <c r="G15" s="71" t="inlineStr">
        <is>
          <t>Los 8 recorridos de Playwright como Cliente Final</t>
        </is>
      </c>
      <c r="H15" s="71" t="inlineStr">
        <is>
          <t>Flujo principal de la HU en pantalla</t>
        </is>
      </c>
      <c r="I15" s="71" t="inlineStr">
        <is>
          <t>Cada ronda</t>
        </is>
      </c>
      <c r="J15" s="71" t="inlineStr">
        <is>
          <t>—</t>
        </is>
      </c>
      <c r="K15" s="71" t="inlineStr">
        <is>
          <t>qa/playwright_hu34/hu34.spec.mjs</t>
        </is>
      </c>
      <c r="L15" s="86" t="inlineStr">
        <is>
          <t>—</t>
        </is>
      </c>
      <c r="M15" s="83" t="inlineStr">
        <is>
          <t>Aprobado</t>
        </is>
      </c>
      <c r="N15" s="82" t="inlineStr">
        <is>
          <t>30/10/2026</t>
        </is>
      </c>
      <c r="O15" s="82" t="inlineStr">
        <is>
          <t>QA</t>
        </is>
      </c>
      <c r="P15" s="87" t="inlineStr">
        <is>
          <t>8 aprobadas</t>
        </is>
      </c>
      <c r="Q15" s="82" t="n"/>
      <c r="R15" s="82" t="inlineStr">
        <is>
          <t>EV-HU34-INF-03</t>
        </is>
      </c>
      <c r="S15" s="82" t="n"/>
    </row>
    <row r="16" ht="47.5" customHeight="1" s="33">
      <c r="A16" s="71" t="inlineStr">
        <is>
          <t>RG-15</t>
        </is>
      </c>
      <c r="B16" s="71" t="inlineStr">
        <is>
          <t>Regresión</t>
        </is>
      </c>
      <c r="C16" s="71" t="inlineStr">
        <is>
          <t>Suites existentes de paneles, series de mediciones y visualización, QA de HU-26 y unitarias del frontend (orden de widgets)</t>
        </is>
      </c>
      <c r="D16" s="71" t="inlineStr">
        <is>
          <t>HU-34</t>
        </is>
      </c>
      <c r="E16" s="71" t="inlineStr">
        <is>
          <t>RQ-HU34-02</t>
        </is>
      </c>
      <c r="F16" s="71" t="inlineStr">
        <is>
          <t>Media</t>
        </is>
      </c>
      <c r="G16" s="71" t="inlineStr">
        <is>
          <t>102 pruebas pytest (más 1 xfail esperado de OBS-14) y 16 pruebas node --test</t>
        </is>
      </c>
      <c r="H16" s="71" t="inlineStr">
        <is>
          <t>La HU toca routers/panel.py, schemas.py y la visualización, que ya tenían pruebas</t>
        </is>
      </c>
      <c r="I16" s="71" t="inlineStr">
        <is>
          <t>Cada ronda</t>
        </is>
      </c>
      <c r="J16" s="71" t="inlineStr">
        <is>
          <t>—</t>
        </is>
      </c>
      <c r="K16" s="71" t="inlineStr">
        <is>
          <t>tests/routers/test_paneles.py, test_series_mediciones.py, tests/services/test_visualizacion.py, qa/03_Evidencias/HU26/test_hu26_qa.py, frontend/tests/*.test.ts</t>
        </is>
      </c>
      <c r="L16" s="86" t="inlineStr">
        <is>
          <t>—</t>
        </is>
      </c>
      <c r="M16" s="83" t="inlineStr">
        <is>
          <t>Aprobado</t>
        </is>
      </c>
      <c r="N16" s="82" t="inlineStr">
        <is>
          <t>30/10/2026</t>
        </is>
      </c>
      <c r="O16" s="82" t="inlineStr">
        <is>
          <t>QA</t>
        </is>
      </c>
      <c r="P16" s="87" t="inlineStr">
        <is>
          <t>102 aprobadas y 1 xfail esperado (OBS-14); frontend 16 de 16</t>
        </is>
      </c>
      <c r="Q16" s="82" t="n"/>
      <c r="R16" s="82" t="inlineStr">
        <is>
          <t>EV-HU34-INF-02, EV-HU34-INF-07</t>
        </is>
      </c>
      <c r="S16" s="87" t="n"/>
    </row>
    <row r="17" ht="18.5" customHeight="1" s="33">
      <c r="A17" s="84" t="n"/>
      <c r="B17" s="84" t="n"/>
      <c r="C17" s="84" t="n"/>
      <c r="D17" s="84" t="n"/>
      <c r="E17" s="84" t="n"/>
      <c r="F17" s="84" t="n"/>
      <c r="G17" s="84" t="n"/>
      <c r="H17" s="84" t="n"/>
      <c r="I17" s="84" t="n"/>
      <c r="J17" s="84" t="n"/>
      <c r="K17" s="84" t="n"/>
      <c r="L17" s="88" t="n"/>
      <c r="M17" s="89" t="n"/>
      <c r="N17" s="87" t="n"/>
      <c r="O17" s="87" t="n"/>
      <c r="P17" s="87" t="n"/>
      <c r="Q17" s="87" t="n"/>
      <c r="R17" s="87" t="n"/>
      <c r="S17" s="87" t="n"/>
    </row>
    <row r="18" ht="18.5" customHeight="1" s="33">
      <c r="A18" s="84" t="n"/>
      <c r="B18" s="84" t="n"/>
      <c r="C18" s="84" t="n"/>
      <c r="D18" s="84" t="n"/>
      <c r="E18" s="84" t="n"/>
      <c r="F18" s="84" t="n"/>
      <c r="G18" s="84" t="n"/>
      <c r="H18" s="84" t="n"/>
      <c r="I18" s="84" t="n"/>
      <c r="J18" s="84" t="n"/>
      <c r="K18" s="84" t="n"/>
      <c r="L18" s="88" t="n"/>
      <c r="M18" s="89" t="n"/>
      <c r="N18" s="87" t="n"/>
      <c r="O18" s="87" t="n"/>
      <c r="P18" s="87" t="n"/>
      <c r="Q18" s="87" t="n"/>
      <c r="R18" s="87" t="n"/>
      <c r="S18" s="87" t="n"/>
    </row>
    <row r="19" ht="18.5" customHeight="1" s="33">
      <c r="A19" s="84" t="n"/>
      <c r="B19" s="84" t="n"/>
      <c r="C19" s="84" t="n"/>
      <c r="D19" s="84" t="n"/>
      <c r="E19" s="84" t="n"/>
      <c r="F19" s="84" t="n"/>
      <c r="G19" s="84" t="n"/>
      <c r="H19" s="84" t="n"/>
      <c r="I19" s="84" t="n"/>
      <c r="J19" s="84" t="n"/>
      <c r="K19" s="84" t="n"/>
      <c r="L19" s="88" t="n"/>
      <c r="M19" s="89" t="n"/>
      <c r="N19" s="87" t="n"/>
      <c r="O19" s="87" t="n"/>
      <c r="P19" s="87" t="n"/>
      <c r="Q19" s="87" t="n"/>
      <c r="R19" s="87" t="n"/>
      <c r="S19" s="87" t="n"/>
    </row>
    <row r="20" ht="18.5" customHeight="1" s="33">
      <c r="A20" s="84" t="n"/>
      <c r="B20" s="84" t="n"/>
      <c r="C20" s="84" t="n"/>
      <c r="D20" s="84" t="n"/>
      <c r="E20" s="84" t="n"/>
      <c r="F20" s="84" t="n"/>
      <c r="G20" s="84" t="n"/>
      <c r="H20" s="84" t="n"/>
      <c r="I20" s="84" t="n"/>
      <c r="J20" s="84" t="n"/>
      <c r="K20" s="84" t="n"/>
      <c r="L20" s="88" t="n"/>
      <c r="M20" s="89" t="n"/>
      <c r="N20" s="87" t="n"/>
      <c r="O20" s="87" t="n"/>
      <c r="P20" s="87" t="n"/>
      <c r="Q20" s="87" t="n"/>
      <c r="R20" s="87" t="n"/>
      <c r="S20" s="87" t="n"/>
    </row>
    <row r="21" ht="18.5" customHeight="1" s="33">
      <c r="A21" s="84" t="n"/>
      <c r="B21" s="84" t="n"/>
      <c r="C21" s="84" t="n"/>
      <c r="D21" s="84" t="n"/>
      <c r="E21" s="84" t="n"/>
      <c r="F21" s="84" t="n"/>
      <c r="G21" s="84" t="n"/>
      <c r="H21" s="84" t="n"/>
      <c r="I21" s="84" t="n"/>
      <c r="J21" s="84" t="n"/>
      <c r="K21" s="84" t="n"/>
      <c r="L21" s="88" t="n"/>
      <c r="M21" s="89" t="n"/>
      <c r="N21" s="87" t="n"/>
      <c r="O21" s="87" t="n"/>
      <c r="P21" s="87" t="n"/>
      <c r="Q21" s="87" t="n"/>
      <c r="R21" s="87" t="n"/>
      <c r="S21" s="87" t="n"/>
    </row>
    <row r="22" ht="18.5" customHeight="1" s="33">
      <c r="A22" s="84" t="n"/>
      <c r="B22" s="84" t="n"/>
      <c r="C22" s="84" t="n"/>
      <c r="D22" s="84" t="n"/>
      <c r="E22" s="84" t="n"/>
      <c r="F22" s="84" t="n"/>
      <c r="G22" s="84" t="n"/>
      <c r="H22" s="84" t="n"/>
      <c r="I22" s="84" t="n"/>
      <c r="J22" s="84" t="n"/>
      <c r="K22" s="84" t="n"/>
      <c r="L22" s="88" t="n"/>
      <c r="M22" s="89" t="n"/>
      <c r="N22" s="87" t="n"/>
      <c r="O22" s="87" t="n"/>
      <c r="P22" s="87" t="n"/>
      <c r="Q22" s="87" t="n"/>
      <c r="R22" s="87" t="n"/>
      <c r="S22" s="87" t="n"/>
    </row>
    <row r="23" ht="18.5" customHeight="1" s="33">
      <c r="A23" s="84" t="n"/>
      <c r="B23" s="84" t="n"/>
      <c r="C23" s="84" t="n"/>
      <c r="D23" s="84" t="n"/>
      <c r="E23" s="84" t="n"/>
      <c r="F23" s="84" t="n"/>
      <c r="G23" s="84" t="n"/>
      <c r="H23" s="84" t="n"/>
      <c r="I23" s="84" t="n"/>
      <c r="J23" s="84" t="n"/>
      <c r="K23" s="84" t="n"/>
      <c r="L23" s="88" t="n"/>
      <c r="M23" s="89" t="n"/>
      <c r="N23" s="87" t="n"/>
      <c r="O23" s="87" t="n"/>
      <c r="P23" s="87" t="n"/>
      <c r="Q23" s="87" t="n"/>
      <c r="R23" s="87" t="n"/>
      <c r="S23" s="87" t="n"/>
    </row>
    <row r="24" ht="18.5" customHeight="1" s="33">
      <c r="A24" s="84" t="n"/>
      <c r="B24" s="84" t="n"/>
      <c r="C24" s="84" t="n"/>
      <c r="D24" s="84" t="n"/>
      <c r="E24" s="84" t="n"/>
      <c r="F24" s="84" t="n"/>
      <c r="G24" s="84" t="n"/>
      <c r="H24" s="84" t="n"/>
      <c r="I24" s="84" t="n"/>
      <c r="J24" s="84" t="n"/>
      <c r="K24" s="84" t="n"/>
      <c r="L24" s="88" t="n"/>
      <c r="M24" s="89" t="n"/>
      <c r="N24" s="87" t="n"/>
      <c r="O24" s="87" t="n"/>
      <c r="P24" s="87" t="n"/>
      <c r="Q24" s="87" t="n"/>
      <c r="R24" s="87" t="n"/>
      <c r="S24" s="87" t="n"/>
    </row>
    <row r="25" ht="18.5" customHeight="1" s="33">
      <c r="A25" s="84" t="n"/>
      <c r="B25" s="84" t="n"/>
      <c r="C25" s="84" t="n"/>
      <c r="D25" s="84" t="n"/>
      <c r="E25" s="84" t="n"/>
      <c r="F25" s="84" t="n"/>
      <c r="G25" s="84" t="n"/>
      <c r="H25" s="84" t="n"/>
      <c r="I25" s="84" t="n"/>
      <c r="J25" s="84" t="n"/>
      <c r="K25" s="84" t="n"/>
      <c r="L25" s="88" t="n"/>
      <c r="M25" s="89" t="n"/>
      <c r="N25" s="87" t="n"/>
      <c r="O25" s="87" t="n"/>
      <c r="P25" s="87" t="n"/>
      <c r="Q25" s="87" t="n"/>
      <c r="R25" s="87" t="n"/>
      <c r="S25" s="87" t="n"/>
    </row>
    <row r="26" ht="18.5" customHeight="1" s="33">
      <c r="A26" s="84" t="n"/>
      <c r="B26" s="84" t="n"/>
      <c r="C26" s="84" t="n"/>
      <c r="D26" s="84" t="n"/>
      <c r="E26" s="84" t="n"/>
      <c r="F26" s="84" t="n"/>
      <c r="G26" s="84" t="n"/>
      <c r="H26" s="84" t="n"/>
      <c r="I26" s="84" t="n"/>
      <c r="J26" s="84" t="n"/>
      <c r="K26" s="84" t="n"/>
      <c r="L26" s="88" t="n"/>
      <c r="M26" s="89" t="n"/>
      <c r="N26" s="87" t="n"/>
      <c r="O26" s="87" t="n"/>
      <c r="P26" s="87" t="n"/>
      <c r="Q26" s="87" t="n"/>
      <c r="R26" s="87" t="n"/>
      <c r="S26" s="87" t="n"/>
    </row>
    <row r="27" ht="18.5" customHeight="1" s="33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8" t="n"/>
      <c r="M27" s="90" t="n"/>
      <c r="N27" s="87" t="n"/>
      <c r="O27" s="87" t="n"/>
      <c r="P27" s="87" t="n"/>
      <c r="Q27" s="87" t="n"/>
      <c r="R27" s="87" t="n"/>
      <c r="S27" s="87" t="n"/>
    </row>
    <row r="28" ht="18.5" customHeight="1" s="33">
      <c r="A28" s="84" t="n"/>
      <c r="B28" s="84" t="n"/>
      <c r="C28" s="84" t="n"/>
      <c r="D28" s="84" t="n"/>
      <c r="E28" s="84" t="n"/>
      <c r="F28" s="84" t="n"/>
      <c r="G28" s="84" t="n"/>
      <c r="H28" s="84" t="n"/>
      <c r="I28" s="84" t="n"/>
      <c r="J28" s="84" t="n"/>
      <c r="K28" s="84" t="n"/>
      <c r="L28" s="88" t="n"/>
      <c r="M28" s="89" t="n"/>
      <c r="N28" s="87" t="n"/>
      <c r="O28" s="87" t="n"/>
      <c r="P28" s="87" t="n"/>
      <c r="Q28" s="87" t="n"/>
      <c r="R28" s="87" t="n"/>
      <c r="S28" s="87" t="n"/>
    </row>
    <row r="29" ht="18.5" customHeight="1" s="33">
      <c r="A29" s="84" t="n"/>
      <c r="B29" s="84" t="n"/>
      <c r="C29" s="84" t="n"/>
      <c r="D29" s="84" t="n"/>
      <c r="E29" s="84" t="n"/>
      <c r="F29" s="84" t="n"/>
      <c r="G29" s="84" t="n"/>
      <c r="H29" s="84" t="n"/>
      <c r="I29" s="84" t="n"/>
      <c r="J29" s="84" t="n"/>
      <c r="K29" s="84" t="n"/>
      <c r="L29" s="88" t="n"/>
      <c r="M29" s="89" t="n"/>
      <c r="N29" s="87" t="n"/>
      <c r="O29" s="87" t="n"/>
      <c r="P29" s="87" t="n"/>
      <c r="Q29" s="87" t="n"/>
      <c r="R29" s="87" t="n"/>
      <c r="S29" s="87" t="n"/>
    </row>
    <row r="30" ht="18.5" customHeight="1" s="33">
      <c r="A30" s="84" t="n"/>
      <c r="B30" s="84" t="n"/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8" t="n"/>
      <c r="M30" s="89" t="n"/>
      <c r="N30" s="87" t="n"/>
      <c r="O30" s="87" t="n"/>
      <c r="P30" s="87" t="n"/>
      <c r="Q30" s="87" t="n"/>
      <c r="R30" s="87" t="n"/>
      <c r="S30" s="87" t="n"/>
    </row>
    <row r="31" ht="18.5" customHeight="1" s="33">
      <c r="A31" s="84" t="n"/>
      <c r="B31" s="84" t="n"/>
      <c r="C31" s="84" t="n"/>
      <c r="D31" s="84" t="n"/>
      <c r="E31" s="84" t="n"/>
      <c r="F31" s="84" t="n"/>
      <c r="G31" s="84" t="n"/>
      <c r="H31" s="84" t="n"/>
      <c r="I31" s="84" t="n"/>
      <c r="J31" s="84" t="n"/>
      <c r="K31" s="84" t="n"/>
      <c r="L31" s="84" t="n"/>
      <c r="M31" s="84" t="n"/>
      <c r="N31" s="84" t="n"/>
      <c r="O31" s="84" t="n"/>
      <c r="P31" s="84" t="n"/>
      <c r="Q31" s="84" t="n"/>
      <c r="R31" s="84" t="n"/>
      <c r="S31" s="84" t="n"/>
    </row>
    <row r="32" ht="18.5" customHeight="1" s="33">
      <c r="A32" s="84" t="n"/>
      <c r="B32" s="84" t="n"/>
      <c r="C32" s="84" t="n"/>
      <c r="D32" s="84" t="n"/>
      <c r="E32" s="84" t="n"/>
      <c r="F32" s="84" t="n"/>
      <c r="G32" s="84" t="n"/>
      <c r="H32" s="84" t="n"/>
      <c r="I32" s="84" t="n"/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n"/>
      <c r="S32" s="84" t="n"/>
    </row>
    <row r="33" ht="18.5" customHeight="1" s="33">
      <c r="A33" s="84" t="n"/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4" t="n"/>
      <c r="L33" s="84" t="n"/>
      <c r="M33" s="84" t="n"/>
      <c r="N33" s="84" t="n"/>
      <c r="O33" s="84" t="n"/>
      <c r="P33" s="84" t="n"/>
      <c r="Q33" s="84" t="n"/>
      <c r="R33" s="84" t="n"/>
      <c r="S33" s="84" t="n"/>
    </row>
    <row r="34" ht="18.5" customHeight="1" s="33">
      <c r="A34" s="84" t="n"/>
      <c r="B34" s="84" t="n"/>
      <c r="C34" s="84" t="n"/>
      <c r="D34" s="84" t="n"/>
      <c r="E34" s="84" t="n"/>
      <c r="F34" s="84" t="n"/>
      <c r="G34" s="84" t="n"/>
      <c r="H34" s="84" t="n"/>
      <c r="I34" s="84" t="n"/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n"/>
      <c r="S34" s="84" t="n"/>
    </row>
    <row r="35" ht="18.5" customHeight="1" s="33">
      <c r="A35" s="84" t="n"/>
      <c r="B35" s="84" t="n"/>
      <c r="C35" s="84" t="n"/>
      <c r="D35" s="84" t="n"/>
      <c r="E35" s="84" t="n"/>
      <c r="F35" s="84" t="n"/>
      <c r="G35" s="84" t="n"/>
      <c r="H35" s="84" t="n"/>
      <c r="I35" s="84" t="n"/>
      <c r="J35" s="84" t="n"/>
      <c r="K35" s="84" t="n"/>
      <c r="L35" s="84" t="n"/>
      <c r="M35" s="84" t="n"/>
      <c r="N35" s="84" t="n"/>
      <c r="O35" s="84" t="n"/>
      <c r="P35" s="84" t="n"/>
      <c r="Q35" s="84" t="n"/>
      <c r="R35" s="84" t="n"/>
      <c r="S35" s="84" t="n"/>
    </row>
    <row r="36" ht="18.5" customHeight="1" s="33">
      <c r="A36" s="84" t="n"/>
      <c r="B36" s="84" t="n"/>
      <c r="C36" s="84" t="n"/>
      <c r="D36" s="84" t="n"/>
      <c r="E36" s="84" t="n"/>
      <c r="F36" s="84" t="n"/>
      <c r="G36" s="84" t="n"/>
      <c r="H36" s="84" t="n"/>
      <c r="I36" s="84" t="n"/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n"/>
      <c r="S36" s="84" t="n"/>
    </row>
    <row r="37" ht="18.5" customHeight="1" s="33">
      <c r="A37" s="84" t="n"/>
      <c r="B37" s="84" t="n"/>
      <c r="C37" s="84" t="n"/>
      <c r="D37" s="84" t="n"/>
      <c r="E37" s="84" t="n"/>
      <c r="F37" s="84" t="n"/>
      <c r="G37" s="84" t="n"/>
      <c r="H37" s="84" t="n"/>
      <c r="I37" s="84" t="n"/>
      <c r="J37" s="84" t="n"/>
      <c r="K37" s="84" t="n"/>
      <c r="L37" s="84" t="n"/>
      <c r="M37" s="84" t="n"/>
      <c r="N37" s="84" t="n"/>
      <c r="O37" s="84" t="n"/>
      <c r="P37" s="84" t="n"/>
      <c r="Q37" s="84" t="n"/>
      <c r="R37" s="84" t="n"/>
      <c r="S37" s="84" t="n"/>
    </row>
    <row r="38" ht="18.5" customHeight="1" s="33">
      <c r="A38" s="84" t="n"/>
      <c r="B38" s="84" t="n"/>
      <c r="C38" s="84" t="n"/>
      <c r="D38" s="84" t="n"/>
      <c r="E38" s="84" t="n"/>
      <c r="F38" s="84" t="n"/>
      <c r="G38" s="84" t="n"/>
      <c r="H38" s="84" t="n"/>
      <c r="I38" s="84" t="n"/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n"/>
      <c r="S38" s="84" t="n"/>
    </row>
    <row r="39" ht="18.5" customHeight="1" s="33">
      <c r="A39" s="84" t="n"/>
      <c r="B39" s="84" t="n"/>
      <c r="C39" s="84" t="n"/>
      <c r="D39" s="84" t="n"/>
      <c r="E39" s="84" t="n"/>
      <c r="F39" s="84" t="n"/>
      <c r="G39" s="84" t="n"/>
      <c r="H39" s="84" t="n"/>
      <c r="I39" s="84" t="n"/>
      <c r="J39" s="84" t="n"/>
      <c r="K39" s="84" t="n"/>
      <c r="L39" s="84" t="n"/>
      <c r="M39" s="84" t="n"/>
      <c r="N39" s="84" t="n"/>
      <c r="O39" s="84" t="n"/>
      <c r="P39" s="84" t="n"/>
      <c r="Q39" s="84" t="n"/>
      <c r="R39" s="84" t="n"/>
      <c r="S39" s="84" t="n"/>
    </row>
    <row r="40" ht="18.5" customHeight="1" s="33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</row>
    <row r="41" ht="18.5" customHeight="1" s="33">
      <c r="A41" s="84" t="n"/>
      <c r="B41" s="84" t="n"/>
      <c r="C41" s="84" t="n"/>
      <c r="D41" s="84" t="n"/>
      <c r="E41" s="84" t="n"/>
      <c r="F41" s="84" t="n"/>
      <c r="G41" s="84" t="n"/>
      <c r="H41" s="84" t="n"/>
      <c r="I41" s="84" t="n"/>
      <c r="J41" s="84" t="n"/>
      <c r="K41" s="84" t="n"/>
      <c r="L41" s="84" t="n"/>
      <c r="M41" s="84" t="n"/>
      <c r="N41" s="84" t="n"/>
      <c r="O41" s="84" t="n"/>
      <c r="P41" s="84" t="n"/>
      <c r="Q41" s="84" t="n"/>
      <c r="R41" s="84" t="n"/>
      <c r="S41" s="84" t="n"/>
    </row>
    <row r="42" ht="18.5" customHeight="1" s="33">
      <c r="A42" s="84" t="n"/>
      <c r="B42" s="84" t="n"/>
      <c r="C42" s="84" t="n"/>
      <c r="D42" s="84" t="n"/>
      <c r="E42" s="84" t="n"/>
      <c r="F42" s="84" t="n"/>
      <c r="G42" s="84" t="n"/>
      <c r="H42" s="84" t="n"/>
      <c r="I42" s="84" t="n"/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n"/>
      <c r="S42" s="84" t="n"/>
    </row>
    <row r="43" ht="18.5" customHeight="1" s="33">
      <c r="A43" s="84" t="n"/>
      <c r="B43" s="84" t="n"/>
      <c r="C43" s="84" t="n"/>
      <c r="D43" s="84" t="n"/>
      <c r="E43" s="84" t="n"/>
      <c r="F43" s="84" t="n"/>
      <c r="G43" s="84" t="n"/>
      <c r="H43" s="84" t="n"/>
      <c r="I43" s="84" t="n"/>
      <c r="J43" s="84" t="n"/>
      <c r="K43" s="84" t="n"/>
      <c r="L43" s="84" t="n"/>
      <c r="M43" s="84" t="n"/>
      <c r="N43" s="84" t="n"/>
      <c r="O43" s="84" t="n"/>
      <c r="P43" s="84" t="n"/>
      <c r="Q43" s="84" t="n"/>
      <c r="R43" s="84" t="n"/>
      <c r="S43" s="84" t="n"/>
    </row>
    <row r="44" ht="18.5" customHeight="1" s="33">
      <c r="A44" s="84" t="n"/>
      <c r="B44" s="84" t="n"/>
      <c r="C44" s="84" t="n"/>
      <c r="D44" s="84" t="n"/>
      <c r="E44" s="84" t="n"/>
      <c r="F44" s="84" t="n"/>
      <c r="G44" s="84" t="n"/>
      <c r="H44" s="84" t="n"/>
      <c r="I44" s="84" t="n"/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n"/>
      <c r="S44" s="84" t="n"/>
    </row>
    <row r="45" ht="18.5" customHeight="1" s="33">
      <c r="A45" s="84" t="n"/>
      <c r="B45" s="84" t="n"/>
      <c r="C45" s="84" t="n"/>
      <c r="D45" s="84" t="n"/>
      <c r="E45" s="84" t="n"/>
      <c r="F45" s="84" t="n"/>
      <c r="G45" s="84" t="n"/>
      <c r="H45" s="84" t="n"/>
      <c r="I45" s="84" t="n"/>
      <c r="J45" s="84" t="n"/>
      <c r="K45" s="84" t="n"/>
      <c r="L45" s="84" t="n"/>
      <c r="M45" s="84" t="n"/>
      <c r="N45" s="84" t="n"/>
      <c r="O45" s="84" t="n"/>
      <c r="P45" s="84" t="n"/>
      <c r="Q45" s="84" t="n"/>
      <c r="R45" s="84" t="n"/>
      <c r="S45" s="84" t="n"/>
    </row>
    <row r="46" ht="18.5" customHeight="1" s="33">
      <c r="A46" s="84" t="n"/>
      <c r="B46" s="84" t="n"/>
      <c r="C46" s="84" t="n"/>
      <c r="D46" s="84" t="n"/>
      <c r="E46" s="84" t="n"/>
      <c r="F46" s="84" t="n"/>
      <c r="G46" s="84" t="n"/>
      <c r="H46" s="84" t="n"/>
      <c r="I46" s="84" t="n"/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n"/>
      <c r="S46" s="84" t="n"/>
    </row>
    <row r="47" ht="18.5" customHeight="1" s="33">
      <c r="A47" s="84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  <c r="L47" s="84" t="n"/>
      <c r="M47" s="84" t="n"/>
      <c r="N47" s="84" t="n"/>
      <c r="O47" s="84" t="n"/>
      <c r="P47" s="84" t="n"/>
      <c r="Q47" s="84" t="n"/>
      <c r="R47" s="84" t="n"/>
      <c r="S47" s="84" t="n"/>
    </row>
    <row r="48" ht="18.5" customHeight="1" s="33">
      <c r="A48" s="84" t="n"/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</row>
    <row r="49" ht="18.5" customHeight="1" s="33">
      <c r="A49" s="84" t="n"/>
      <c r="B49" s="84" t="n"/>
      <c r="C49" s="84" t="n"/>
      <c r="D49" s="84" t="n"/>
      <c r="E49" s="84" t="n"/>
      <c r="F49" s="84" t="n"/>
      <c r="G49" s="84" t="n"/>
      <c r="H49" s="84" t="n"/>
      <c r="I49" s="84" t="n"/>
      <c r="J49" s="84" t="n"/>
      <c r="K49" s="84" t="n"/>
      <c r="L49" s="84" t="n"/>
      <c r="M49" s="84" t="n"/>
      <c r="N49" s="84" t="n"/>
      <c r="O49" s="84" t="n"/>
      <c r="P49" s="84" t="n"/>
      <c r="Q49" s="84" t="n"/>
      <c r="R49" s="84" t="n"/>
      <c r="S49" s="84" t="n"/>
    </row>
    <row r="50" ht="18.5" customHeight="1" s="33">
      <c r="A50" s="84" t="n"/>
      <c r="B50" s="84" t="n"/>
      <c r="C50" s="84" t="n"/>
      <c r="D50" s="84" t="n"/>
      <c r="E50" s="84" t="n"/>
      <c r="F50" s="84" t="n"/>
      <c r="G50" s="84" t="n"/>
      <c r="H50" s="84" t="n"/>
      <c r="I50" s="84" t="n"/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n"/>
      <c r="S50" s="84" t="n"/>
    </row>
    <row r="51" ht="18.5" customHeight="1" s="33">
      <c r="A51" s="84" t="n"/>
      <c r="B51" s="84" t="n"/>
      <c r="C51" s="84" t="n"/>
      <c r="D51" s="84" t="n"/>
      <c r="E51" s="84" t="n"/>
      <c r="F51" s="84" t="n"/>
      <c r="G51" s="84" t="n"/>
      <c r="H51" s="84" t="n"/>
      <c r="I51" s="84" t="n"/>
      <c r="J51" s="84" t="n"/>
      <c r="K51" s="84" t="n"/>
      <c r="L51" s="84" t="n"/>
      <c r="M51" s="84" t="n"/>
      <c r="N51" s="84" t="n"/>
      <c r="O51" s="84" t="n"/>
      <c r="P51" s="84" t="n"/>
      <c r="Q51" s="84" t="n"/>
      <c r="R51" s="84" t="n"/>
      <c r="S51" s="84" t="n"/>
    </row>
    <row r="52" ht="18.5" customHeight="1" s="33">
      <c r="A52" s="84" t="n"/>
      <c r="B52" s="84" t="n"/>
      <c r="C52" s="84" t="n"/>
      <c r="D52" s="84" t="n"/>
      <c r="E52" s="84" t="n"/>
      <c r="F52" s="84" t="n"/>
      <c r="G52" s="84" t="n"/>
      <c r="H52" s="84" t="n"/>
      <c r="I52" s="84" t="n"/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n"/>
      <c r="S52" s="84" t="n"/>
    </row>
    <row r="53" ht="18.5" customHeight="1" s="33">
      <c r="A53" s="84" t="n"/>
      <c r="B53" s="84" t="n"/>
      <c r="C53" s="84" t="n"/>
      <c r="D53" s="84" t="n"/>
      <c r="E53" s="84" t="n"/>
      <c r="F53" s="84" t="n"/>
      <c r="G53" s="84" t="n"/>
      <c r="H53" s="84" t="n"/>
      <c r="I53" s="84" t="n"/>
      <c r="J53" s="84" t="n"/>
      <c r="K53" s="84" t="n"/>
      <c r="L53" s="84" t="n"/>
      <c r="M53" s="84" t="n"/>
      <c r="N53" s="84" t="n"/>
      <c r="O53" s="84" t="n"/>
      <c r="P53" s="84" t="n"/>
      <c r="Q53" s="84" t="n"/>
      <c r="R53" s="84" t="n"/>
      <c r="S53" s="84" t="n"/>
    </row>
    <row r="54" ht="18.5" customHeight="1" s="33">
      <c r="A54" s="84" t="n"/>
      <c r="B54" s="84" t="n"/>
      <c r="C54" s="84" t="n"/>
      <c r="D54" s="84" t="n"/>
      <c r="E54" s="84" t="n"/>
      <c r="F54" s="84" t="n"/>
      <c r="G54" s="84" t="n"/>
      <c r="H54" s="84" t="n"/>
      <c r="I54" s="84" t="n"/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n"/>
      <c r="S54" s="84" t="n"/>
    </row>
    <row r="55" ht="18.5" customHeight="1" s="33">
      <c r="A55" s="84" t="n"/>
      <c r="B55" s="84" t="n"/>
      <c r="C55" s="84" t="n"/>
      <c r="D55" s="84" t="n"/>
      <c r="E55" s="84" t="n"/>
      <c r="F55" s="84" t="n"/>
      <c r="G55" s="84" t="n"/>
      <c r="H55" s="84" t="n"/>
      <c r="I55" s="84" t="n"/>
      <c r="J55" s="84" t="n"/>
      <c r="K55" s="84" t="n"/>
      <c r="L55" s="84" t="n"/>
      <c r="M55" s="84" t="n"/>
      <c r="N55" s="84" t="n"/>
      <c r="O55" s="84" t="n"/>
      <c r="P55" s="84" t="n"/>
      <c r="Q55" s="84" t="n"/>
      <c r="R55" s="84" t="n"/>
      <c r="S55" s="84" t="n"/>
    </row>
    <row r="56" ht="18.5" customHeight="1" s="33">
      <c r="A56" s="84" t="n"/>
      <c r="B56" s="84" t="n"/>
      <c r="C56" s="84" t="n"/>
      <c r="D56" s="84" t="n"/>
      <c r="E56" s="84" t="n"/>
      <c r="F56" s="84" t="n"/>
      <c r="G56" s="84" t="n"/>
      <c r="H56" s="84" t="n"/>
      <c r="I56" s="84" t="n"/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n"/>
      <c r="S56" s="84" t="n"/>
    </row>
    <row r="57" ht="18.5" customHeight="1" s="33">
      <c r="A57" s="84" t="n"/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4" t="n"/>
      <c r="L57" s="84" t="n"/>
      <c r="M57" s="84" t="n"/>
      <c r="N57" s="84" t="n"/>
      <c r="O57" s="84" t="n"/>
      <c r="P57" s="84" t="n"/>
      <c r="Q57" s="84" t="n"/>
      <c r="R57" s="84" t="n"/>
      <c r="S57" s="84" t="n"/>
    </row>
    <row r="58" ht="18.5" customHeight="1" s="33">
      <c r="A58" s="84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n"/>
      <c r="S58" s="84" t="n"/>
    </row>
    <row r="59" ht="18.5" customHeight="1" s="33">
      <c r="A59" s="84" t="n"/>
      <c r="B59" s="84" t="n"/>
      <c r="C59" s="84" t="n"/>
      <c r="D59" s="84" t="n"/>
      <c r="E59" s="84" t="n"/>
      <c r="F59" s="84" t="n"/>
      <c r="G59" s="84" t="n"/>
      <c r="H59" s="84" t="n"/>
      <c r="I59" s="84" t="n"/>
      <c r="J59" s="84" t="n"/>
      <c r="K59" s="84" t="n"/>
      <c r="L59" s="84" t="n"/>
      <c r="M59" s="84" t="n"/>
      <c r="N59" s="84" t="n"/>
      <c r="O59" s="84" t="n"/>
      <c r="P59" s="84" t="n"/>
      <c r="Q59" s="84" t="n"/>
      <c r="R59" s="84" t="n"/>
      <c r="S59" s="84" t="n"/>
    </row>
    <row r="60" ht="18.5" customHeight="1" s="33">
      <c r="A60" s="84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n"/>
      <c r="S60" s="84" t="n"/>
    </row>
    <row r="61" ht="18.5" customHeight="1" s="33">
      <c r="A61" s="84" t="n"/>
      <c r="B61" s="84" t="n"/>
      <c r="C61" s="84" t="n"/>
      <c r="D61" s="84" t="n"/>
      <c r="E61" s="84" t="n"/>
      <c r="F61" s="84" t="n"/>
      <c r="G61" s="84" t="n"/>
      <c r="H61" s="84" t="n"/>
      <c r="I61" s="84" t="n"/>
      <c r="J61" s="84" t="n"/>
      <c r="K61" s="84" t="n"/>
      <c r="L61" s="84" t="n"/>
      <c r="M61" s="84" t="n"/>
      <c r="N61" s="84" t="n"/>
      <c r="O61" s="84" t="n"/>
      <c r="P61" s="84" t="n"/>
      <c r="Q61" s="84" t="n"/>
      <c r="R61" s="84" t="n"/>
      <c r="S61" s="84" t="n"/>
    </row>
    <row r="62" ht="18.5" customHeight="1" s="33">
      <c r="A62" s="84" t="n"/>
      <c r="B62" s="84" t="n"/>
      <c r="C62" s="84" t="n"/>
      <c r="D62" s="84" t="n"/>
      <c r="E62" s="84" t="n"/>
      <c r="F62" s="84" t="n"/>
      <c r="G62" s="84" t="n"/>
      <c r="H62" s="84" t="n"/>
      <c r="I62" s="84" t="n"/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n"/>
      <c r="S62" s="84" t="n"/>
    </row>
    <row r="63" ht="18.5" customHeight="1" s="33">
      <c r="A63" s="84" t="n"/>
      <c r="B63" s="84" t="n"/>
      <c r="C63" s="84" t="n"/>
      <c r="D63" s="84" t="n"/>
      <c r="E63" s="84" t="n"/>
      <c r="F63" s="84" t="n"/>
      <c r="G63" s="84" t="n"/>
      <c r="H63" s="84" t="n"/>
      <c r="I63" s="84" t="n"/>
      <c r="J63" s="84" t="n"/>
      <c r="K63" s="84" t="n"/>
      <c r="L63" s="84" t="n"/>
      <c r="M63" s="84" t="n"/>
      <c r="N63" s="84" t="n"/>
      <c r="O63" s="84" t="n"/>
      <c r="P63" s="84" t="n"/>
      <c r="Q63" s="84" t="n"/>
      <c r="R63" s="84" t="n"/>
      <c r="S63" s="84" t="n"/>
    </row>
    <row r="64" ht="18.5" customHeight="1" s="33">
      <c r="A64" s="84" t="n"/>
      <c r="B64" s="84" t="n"/>
      <c r="C64" s="84" t="n"/>
      <c r="D64" s="84" t="n"/>
      <c r="E64" s="84" t="n"/>
      <c r="F64" s="84" t="n"/>
      <c r="G64" s="84" t="n"/>
      <c r="H64" s="84" t="n"/>
      <c r="I64" s="84" t="n"/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n"/>
      <c r="S64" s="84" t="n"/>
    </row>
    <row r="65" ht="18.5" customHeight="1" s="33">
      <c r="A65" s="84" t="n"/>
      <c r="B65" s="84" t="n"/>
      <c r="C65" s="84" t="n"/>
      <c r="D65" s="84" t="n"/>
      <c r="E65" s="84" t="n"/>
      <c r="F65" s="84" t="n"/>
      <c r="G65" s="84" t="n"/>
      <c r="H65" s="84" t="n"/>
      <c r="I65" s="84" t="n"/>
      <c r="J65" s="84" t="n"/>
      <c r="K65" s="84" t="n"/>
      <c r="L65" s="84" t="n"/>
      <c r="M65" s="84" t="n"/>
      <c r="N65" s="84" t="n"/>
      <c r="O65" s="84" t="n"/>
      <c r="P65" s="84" t="n"/>
      <c r="Q65" s="84" t="n"/>
      <c r="R65" s="84" t="n"/>
      <c r="S65" s="84" t="n"/>
    </row>
    <row r="66" ht="18.5" customHeight="1" s="33">
      <c r="A66" s="84" t="n"/>
      <c r="B66" s="84" t="n"/>
      <c r="C66" s="84" t="n"/>
      <c r="D66" s="84" t="n"/>
      <c r="E66" s="84" t="n"/>
      <c r="F66" s="84" t="n"/>
      <c r="G66" s="84" t="n"/>
      <c r="H66" s="84" t="n"/>
      <c r="I66" s="84" t="n"/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n"/>
      <c r="S66" s="84" t="n"/>
    </row>
    <row r="67" ht="18.5" customHeight="1" s="33">
      <c r="A67" s="84" t="n"/>
      <c r="B67" s="84" t="n"/>
      <c r="C67" s="84" t="n"/>
      <c r="D67" s="84" t="n"/>
      <c r="E67" s="84" t="n"/>
      <c r="F67" s="84" t="n"/>
      <c r="G67" s="84" t="n"/>
      <c r="H67" s="84" t="n"/>
      <c r="I67" s="84" t="n"/>
      <c r="J67" s="84" t="n"/>
      <c r="K67" s="84" t="n"/>
      <c r="L67" s="84" t="n"/>
      <c r="M67" s="84" t="n"/>
      <c r="N67" s="84" t="n"/>
      <c r="O67" s="84" t="n"/>
      <c r="P67" s="84" t="n"/>
      <c r="Q67" s="84" t="n"/>
      <c r="R67" s="84" t="n"/>
      <c r="S67" s="84" t="n"/>
    </row>
    <row r="68" ht="18.5" customHeight="1" s="33">
      <c r="A68" s="84" t="n"/>
      <c r="B68" s="84" t="n"/>
      <c r="C68" s="84" t="n"/>
      <c r="D68" s="84" t="n"/>
      <c r="E68" s="84" t="n"/>
      <c r="F68" s="84" t="n"/>
      <c r="G68" s="84" t="n"/>
      <c r="H68" s="84" t="n"/>
      <c r="I68" s="84" t="n"/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n"/>
      <c r="S68" s="84" t="n"/>
    </row>
    <row r="69" ht="18.5" customHeight="1" s="33">
      <c r="A69" s="84" t="n"/>
      <c r="B69" s="84" t="n"/>
      <c r="C69" s="84" t="n"/>
      <c r="D69" s="84" t="n"/>
      <c r="E69" s="84" t="n"/>
      <c r="F69" s="84" t="n"/>
      <c r="G69" s="84" t="n"/>
      <c r="H69" s="84" t="n"/>
      <c r="I69" s="84" t="n"/>
      <c r="J69" s="84" t="n"/>
      <c r="K69" s="84" t="n"/>
      <c r="L69" s="84" t="n"/>
      <c r="M69" s="84" t="n"/>
      <c r="N69" s="84" t="n"/>
      <c r="O69" s="84" t="n"/>
      <c r="P69" s="84" t="n"/>
      <c r="Q69" s="84" t="n"/>
      <c r="R69" s="84" t="n"/>
      <c r="S69" s="84" t="n"/>
    </row>
    <row r="70" ht="18.5" customHeight="1" s="33">
      <c r="A70" s="84" t="n"/>
      <c r="B70" s="84" t="n"/>
      <c r="C70" s="84" t="n"/>
      <c r="D70" s="84" t="n"/>
      <c r="E70" s="84" t="n"/>
      <c r="F70" s="84" t="n"/>
      <c r="G70" s="84" t="n"/>
      <c r="H70" s="84" t="n"/>
      <c r="I70" s="84" t="n"/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n"/>
      <c r="S70" s="84" t="n"/>
    </row>
    <row r="71" ht="18.5" customHeight="1" s="33">
      <c r="A71" s="84" t="n"/>
      <c r="B71" s="84" t="n"/>
      <c r="C71" s="84" t="n"/>
      <c r="D71" s="84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</row>
    <row r="72" ht="18.5" customHeight="1" s="33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</row>
    <row r="73" ht="18.5" customHeight="1" s="3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</row>
    <row r="74" ht="18.5" customHeight="1" s="33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</row>
    <row r="75" ht="18.5" customHeight="1" s="33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84" t="n"/>
      <c r="N75" s="84" t="n"/>
      <c r="O75" s="84" t="n"/>
      <c r="P75" s="84" t="n"/>
      <c r="Q75" s="84" t="n"/>
      <c r="R75" s="84" t="n"/>
      <c r="S75" s="84" t="n"/>
    </row>
    <row r="76" ht="18.5" customHeight="1" s="33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n"/>
      <c r="S76" s="84" t="n"/>
    </row>
    <row r="77" ht="18.5" customHeight="1" s="33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84" t="n"/>
      <c r="N77" s="84" t="n"/>
      <c r="O77" s="84" t="n"/>
      <c r="P77" s="84" t="n"/>
      <c r="Q77" s="84" t="n"/>
      <c r="R77" s="84" t="n"/>
      <c r="S77" s="84" t="n"/>
    </row>
    <row r="78" ht="18.5" customHeight="1" s="33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n"/>
      <c r="S78" s="84" t="n"/>
    </row>
    <row r="79" ht="18.5" customHeight="1" s="33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</row>
    <row r="80" ht="18.5" customHeight="1" s="33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</row>
    <row r="81" ht="18.5" customHeight="1" s="33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</row>
    <row r="82" ht="18.5" customHeight="1" s="33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n"/>
      <c r="S82" s="84" t="n"/>
    </row>
    <row r="83" ht="18.5" customHeight="1" s="3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</row>
    <row r="84" ht="18.5" customHeight="1" s="33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</row>
    <row r="85" ht="18.5" customHeight="1" s="33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</row>
    <row r="86" ht="18.5" customHeight="1" s="33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</row>
  </sheetData>
  <conditionalFormatting sqref="L2:M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</conditionalFormatting>
  <conditionalFormatting sqref="M2:M200">
    <cfRule type="cellIs" rank="0" priority="6" equalAverage="0" operator="equal" aboveAverage="0" dxfId="4" text="" percent="0" bottom="0">
      <formula>"No aplica"</formula>
    </cfRule>
  </conditionalFormatting>
  <conditionalFormatting sqref="B2:B200">
    <cfRule type="cellIs" rank="0" priority="7" equalAverage="0" operator="equal" aboveAverage="0" dxfId="6" text="" percent="0" bottom="0">
      <formula>"Humo"</formula>
    </cfRule>
    <cfRule type="cellIs" rank="0" priority="8" equalAverage="0" operator="equal" aboveAverage="0" dxfId="7" text="" percent="0" bottom="0">
      <formula>"Reprueba"</formula>
    </cfRule>
    <cfRule type="cellIs" rank="0" priority="9" equalAverage="0" operator="equal" aboveAverage="0" dxfId="8" text="" percent="0" bottom="0">
      <formula>"Regresión"</formula>
    </cfRule>
  </conditionalFormatting>
  <dataValidations count="3">
    <dataValidation sqref="B2:B200" showDropDown="0" showInputMessage="0" showErrorMessage="0" allowBlank="1" type="list" errorStyle="stop" operator="between">
      <formula1>"Humo,Reprueba,Regresión"</formula1>
      <formula2>0</formula2>
    </dataValidation>
    <dataValidation sqref="M2:M200" showDropDown="0" showInputMessage="0" showErrorMessage="0" allowBlank="1" type="list" errorStyle="stop" operator="between">
      <formula1>"Pendiente,Aprobado,Fallido,Bloqueado,No aplica"</formula1>
      <formula2>0</formula2>
    </dataValidation>
    <dataValidation sqref="Q2:Q200" showDropDown="0" showInputMessage="0" showErrorMessage="0" allowBlank="1" type="list" errorStyle="stop" operator="between">
      <formula1>"Sprint 1"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O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2" min="1" max="1"/>
    <col width="13" customWidth="1" style="32" min="2" max="2"/>
    <col width="9" customWidth="1" style="32" min="3" max="3"/>
    <col width="32" customWidth="1" style="32" min="4" max="4"/>
    <col width="40" customWidth="1" style="32" min="5" max="6"/>
    <col width="13" customWidth="1" style="33" min="6" max="6"/>
    <col width="28" customWidth="1" style="32" min="7" max="7"/>
    <col width="30" customWidth="1" style="32" min="8" max="8"/>
    <col width="38" customWidth="1" style="32" min="9" max="9"/>
    <col width="32" customWidth="1" style="32" min="10" max="10"/>
    <col width="40" customWidth="1" style="32" min="11" max="11"/>
    <col width="28" customWidth="1" style="32" min="12" max="12"/>
    <col width="42" customWidth="1" style="32" min="13" max="13"/>
    <col width="120" customWidth="1" style="33" min="15" max="15"/>
  </cols>
  <sheetData>
    <row r="1" ht="33" customHeight="1" s="33">
      <c r="A1" s="81" t="inlineStr">
        <is>
          <t>ID</t>
        </is>
      </c>
      <c r="B1" s="81" t="inlineStr">
        <is>
          <t>Tipo</t>
        </is>
      </c>
      <c r="C1" s="81" t="inlineStr">
        <is>
          <t>Historia</t>
        </is>
      </c>
      <c r="D1" s="81" t="inlineStr">
        <is>
          <t>Escenario</t>
        </is>
      </c>
      <c r="E1" s="81" t="inlineStr">
        <is>
          <t>Objetivo</t>
        </is>
      </c>
      <c r="F1" s="81" t="inlineStr">
        <is>
          <t>Carga o condición</t>
        </is>
      </c>
      <c r="G1" s="81" t="inlineStr">
        <is>
          <t>Duración</t>
        </is>
      </c>
      <c r="H1" s="81" t="inlineStr">
        <is>
          <t>Precondiciones</t>
        </is>
      </c>
      <c r="I1" s="81" t="inlineStr">
        <is>
          <t>Qué se mide</t>
        </is>
      </c>
      <c r="J1" s="81" t="inlineStr">
        <is>
          <t>Meta</t>
        </is>
      </c>
      <c r="K1" s="81" t="inlineStr">
        <is>
          <t>Referencia de la meta</t>
        </is>
      </c>
      <c r="L1" s="81" t="inlineStr">
        <is>
          <t>Herramienta</t>
        </is>
      </c>
      <c r="M1" s="81" t="inlineStr">
        <is>
          <t>Cómo se ejecuta</t>
        </is>
      </c>
      <c r="N1" s="68" t="n"/>
      <c r="O1" s="91" t="n"/>
    </row>
    <row r="2" ht="18.5" customHeight="1" s="33">
      <c r="A2" s="84" t="n"/>
      <c r="B2" s="84" t="n"/>
      <c r="C2" s="84" t="n"/>
      <c r="D2" s="84" t="n"/>
      <c r="E2" s="84" t="n"/>
      <c r="F2" s="84" t="n"/>
      <c r="G2" s="84" t="n"/>
      <c r="H2" s="84" t="n"/>
      <c r="I2" s="84" t="n"/>
      <c r="J2" s="87" t="n"/>
      <c r="K2" s="87" t="n"/>
      <c r="L2" s="84" t="n"/>
      <c r="M2" s="84" t="n"/>
      <c r="N2" s="68" t="n"/>
      <c r="O2" s="68" t="n"/>
    </row>
    <row r="3" ht="18.5" customHeight="1" s="33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7" t="n"/>
      <c r="K3" s="87" t="n"/>
      <c r="L3" s="84" t="n"/>
      <c r="M3" s="84" t="n"/>
      <c r="N3" s="68" t="n"/>
      <c r="O3" s="68" t="n"/>
    </row>
    <row r="4" ht="18.5" customHeight="1" s="33">
      <c r="A4" s="84" t="n"/>
      <c r="B4" s="84" t="n"/>
      <c r="C4" s="84" t="n"/>
      <c r="D4" s="84" t="n"/>
      <c r="E4" s="84" t="n"/>
      <c r="F4" s="84" t="n"/>
      <c r="G4" s="84" t="n"/>
      <c r="H4" s="84" t="n"/>
      <c r="I4" s="84" t="n"/>
      <c r="J4" s="87" t="n"/>
      <c r="K4" s="87" t="n"/>
      <c r="L4" s="84" t="n"/>
      <c r="M4" s="84" t="n"/>
      <c r="N4" s="68" t="n"/>
      <c r="O4" s="68" t="n"/>
    </row>
    <row r="5" ht="18.5" customHeight="1" s="33">
      <c r="A5" s="84" t="n"/>
      <c r="B5" s="84" t="n"/>
      <c r="C5" s="84" t="n"/>
      <c r="D5" s="84" t="n"/>
      <c r="E5" s="84" t="n"/>
      <c r="F5" s="84" t="n"/>
      <c r="G5" s="84" t="n"/>
      <c r="H5" s="84" t="n"/>
      <c r="I5" s="84" t="n"/>
      <c r="J5" s="87" t="n"/>
      <c r="K5" s="87" t="n"/>
      <c r="L5" s="84" t="n"/>
      <c r="M5" s="84" t="n"/>
      <c r="N5" s="68" t="n"/>
      <c r="O5" s="68" t="n"/>
    </row>
    <row r="6" ht="18.5" customHeight="1" s="33">
      <c r="A6" s="84" t="n"/>
      <c r="B6" s="84" t="n"/>
      <c r="C6" s="84" t="n"/>
      <c r="D6" s="84" t="n"/>
      <c r="E6" s="84" t="n"/>
      <c r="F6" s="84" t="n"/>
      <c r="G6" s="84" t="n"/>
      <c r="H6" s="84" t="n"/>
      <c r="I6" s="84" t="n"/>
      <c r="J6" s="87" t="n"/>
      <c r="K6" s="87" t="n"/>
      <c r="L6" s="84" t="n"/>
      <c r="M6" s="84" t="n"/>
      <c r="N6" s="68" t="n"/>
      <c r="O6" s="68" t="n"/>
    </row>
    <row r="7" ht="18.5" customHeight="1" s="33">
      <c r="A7" s="84" t="n"/>
      <c r="B7" s="84" t="n"/>
      <c r="C7" s="84" t="n"/>
      <c r="D7" s="84" t="n"/>
      <c r="E7" s="84" t="n"/>
      <c r="F7" s="84" t="n"/>
      <c r="G7" s="84" t="n"/>
      <c r="H7" s="84" t="n"/>
      <c r="I7" s="84" t="n"/>
      <c r="J7" s="87" t="n"/>
      <c r="K7" s="87" t="n"/>
      <c r="L7" s="84" t="n"/>
      <c r="M7" s="84" t="n"/>
      <c r="N7" s="68" t="n"/>
      <c r="O7" s="68" t="n"/>
    </row>
    <row r="8" ht="18.5" customHeight="1" s="33">
      <c r="A8" s="84" t="n"/>
      <c r="B8" s="84" t="n"/>
      <c r="C8" s="84" t="n"/>
      <c r="D8" s="84" t="n"/>
      <c r="E8" s="84" t="n"/>
      <c r="F8" s="84" t="n"/>
      <c r="G8" s="84" t="n"/>
      <c r="H8" s="84" t="n"/>
      <c r="I8" s="84" t="n"/>
      <c r="J8" s="87" t="n"/>
      <c r="K8" s="87" t="n"/>
      <c r="L8" s="84" t="n"/>
      <c r="M8" s="84" t="n"/>
      <c r="N8" s="68" t="n"/>
      <c r="O8" s="68" t="n"/>
    </row>
    <row r="9" ht="18.5" customHeight="1" s="33">
      <c r="A9" s="84" t="n"/>
      <c r="B9" s="84" t="n"/>
      <c r="C9" s="84" t="n"/>
      <c r="D9" s="84" t="n"/>
      <c r="E9" s="84" t="n"/>
      <c r="F9" s="84" t="n"/>
      <c r="G9" s="84" t="n"/>
      <c r="H9" s="84" t="n"/>
      <c r="I9" s="84" t="n"/>
      <c r="J9" s="87" t="n"/>
      <c r="K9" s="87" t="n"/>
      <c r="L9" s="84" t="n"/>
      <c r="M9" s="84" t="n"/>
      <c r="N9" s="68" t="n"/>
      <c r="O9" s="68" t="n"/>
    </row>
    <row r="10" ht="18.5" customHeight="1" s="33">
      <c r="A10" s="84" t="n"/>
      <c r="B10" s="84" t="n"/>
      <c r="C10" s="84" t="n"/>
      <c r="D10" s="84" t="n"/>
      <c r="E10" s="84" t="n"/>
      <c r="F10" s="84" t="n"/>
      <c r="G10" s="84" t="n"/>
      <c r="H10" s="84" t="n"/>
      <c r="I10" s="84" t="n"/>
      <c r="J10" s="87" t="n"/>
      <c r="K10" s="87" t="n"/>
      <c r="L10" s="84" t="n"/>
      <c r="M10" s="84" t="n"/>
      <c r="N10" s="68" t="n"/>
      <c r="O10" s="68" t="n"/>
    </row>
    <row r="11" ht="18.5" customHeight="1" s="33">
      <c r="A11" s="84" t="n"/>
      <c r="B11" s="84" t="n"/>
      <c r="C11" s="84" t="n"/>
      <c r="D11" s="84" t="n"/>
      <c r="E11" s="84" t="n"/>
      <c r="F11" s="84" t="n"/>
      <c r="G11" s="84" t="n"/>
      <c r="H11" s="84" t="n"/>
      <c r="I11" s="84" t="n"/>
      <c r="J11" s="87" t="n"/>
      <c r="K11" s="87" t="n"/>
      <c r="L11" s="84" t="n"/>
      <c r="M11" s="84" t="n"/>
      <c r="N11" s="68" t="n"/>
      <c r="O11" s="68" t="n"/>
    </row>
    <row r="12" ht="18.5" customHeight="1" s="33">
      <c r="A12" s="84" t="n"/>
      <c r="B12" s="84" t="n"/>
      <c r="C12" s="84" t="n"/>
      <c r="D12" s="84" t="n"/>
      <c r="E12" s="84" t="n"/>
      <c r="F12" s="84" t="n"/>
      <c r="G12" s="84" t="n"/>
      <c r="H12" s="84" t="n"/>
      <c r="I12" s="84" t="n"/>
      <c r="J12" s="87" t="n"/>
      <c r="K12" s="87" t="n"/>
      <c r="L12" s="84" t="n"/>
      <c r="M12" s="84" t="n"/>
      <c r="N12" s="68" t="n"/>
      <c r="O12" s="68" t="n"/>
    </row>
    <row r="13" s="33">
      <c r="A13" s="68" t="n"/>
      <c r="B13" s="68" t="n"/>
      <c r="C13" s="68" t="n"/>
      <c r="D13" s="68" t="n"/>
      <c r="E13" s="68" t="n"/>
      <c r="F13" s="68" t="n"/>
      <c r="G13" s="68" t="n"/>
      <c r="H13" s="68" t="n"/>
      <c r="I13" s="68" t="n"/>
      <c r="J13" s="68" t="n"/>
      <c r="K13" s="68" t="n"/>
      <c r="L13" s="68" t="n"/>
      <c r="M13" s="68" t="n"/>
      <c r="N13" s="68" t="n"/>
      <c r="O13" s="68" t="n"/>
    </row>
    <row r="14" ht="18.5" customHeight="1" s="33">
      <c r="A14" s="92" t="inlineStr">
        <is>
          <t>Notas de los escenarios</t>
        </is>
      </c>
      <c r="B14" s="68" t="n"/>
      <c r="C14" s="68" t="n"/>
      <c r="D14" s="68" t="n"/>
      <c r="E14" s="68" t="n"/>
      <c r="F14" s="68" t="n"/>
      <c r="G14" s="68" t="n"/>
      <c r="H14" s="68" t="n"/>
      <c r="I14" s="68" t="n"/>
      <c r="J14" s="68" t="n"/>
      <c r="K14" s="68" t="n"/>
      <c r="L14" s="68" t="n"/>
      <c r="M14" s="68" t="n"/>
      <c r="N14" s="68" t="n"/>
      <c r="O14" s="68" t="n"/>
    </row>
    <row r="15" ht="35.9" customHeight="1" s="33">
      <c r="A15" s="93" t="inlineStr">
        <is>
          <t>Documento</t>
        </is>
      </c>
      <c r="B15" s="109" t="n"/>
      <c r="C15" s="68" t="n"/>
      <c r="N15" s="68" t="n"/>
      <c r="O15" s="68" t="n"/>
    </row>
    <row r="16" ht="33" customHeight="1" s="33">
      <c r="A16" s="93" t="inlineStr">
        <is>
          <t>Objetivo</t>
        </is>
      </c>
      <c r="B16" s="109" t="n"/>
      <c r="C16" s="68" t="n"/>
      <c r="N16" s="68" t="n"/>
      <c r="O16" s="68" t="n"/>
    </row>
    <row r="17" ht="33" customHeight="1" s="33">
      <c r="A17" s="93" t="inlineStr">
        <is>
          <t>Alcance</t>
        </is>
      </c>
      <c r="B17" s="109" t="n"/>
      <c r="C17" s="68" t="n"/>
      <c r="N17" s="68" t="n"/>
      <c r="O17" s="68" t="n"/>
    </row>
    <row r="18" ht="35.9" customHeight="1" s="33">
      <c r="A18" s="93" t="inlineStr">
        <is>
          <t>Tipos de prueba</t>
        </is>
      </c>
      <c r="B18" s="109" t="n"/>
      <c r="C18" s="68" t="n"/>
      <c r="N18" s="68" t="n"/>
      <c r="O18" s="68" t="n"/>
    </row>
    <row r="19" ht="51.9" customHeight="1" s="33">
      <c r="A19" s="93" t="inlineStr">
        <is>
          <t>Cómo se fijan las metas</t>
        </is>
      </c>
      <c r="B19" s="109" t="n"/>
      <c r="C19" s="68" t="n"/>
      <c r="N19" s="68" t="n"/>
      <c r="O19" s="68" t="n"/>
    </row>
    <row r="20" ht="19.9" customHeight="1" s="33">
      <c r="A20" s="93" t="inlineStr">
        <is>
          <t>Ambiente</t>
        </is>
      </c>
      <c r="B20" s="109" t="n"/>
      <c r="C20" s="68" t="n"/>
      <c r="N20" s="68" t="n"/>
      <c r="O20" s="68" t="n"/>
    </row>
    <row r="21" ht="35.9" customHeight="1" s="33">
      <c r="A21" s="93" t="inlineStr">
        <is>
          <t>Datos y usuarios</t>
        </is>
      </c>
      <c r="B21" s="109" t="n"/>
      <c r="C21" s="68" t="n"/>
      <c r="N21" s="68" t="n"/>
      <c r="O21" s="68" t="n"/>
    </row>
    <row r="22" ht="35.9" customHeight="1" s="33">
      <c r="A22" s="93" t="inlineStr">
        <is>
          <t>Herramienta</t>
        </is>
      </c>
      <c r="B22" s="109" t="n"/>
      <c r="C22" s="68" t="n"/>
      <c r="N22" s="68" t="n"/>
      <c r="O22" s="68" t="n"/>
    </row>
    <row r="23" ht="51.9" customHeight="1" s="33">
      <c r="A23" s="93" t="inlineStr">
        <is>
          <t>Orden y precauciones</t>
        </is>
      </c>
      <c r="B23" s="109" t="n"/>
      <c r="C23" s="68" t="n"/>
      <c r="N23" s="68" t="n"/>
      <c r="O23" s="68" t="n"/>
    </row>
    <row r="24" ht="35.9" customHeight="1" s="33">
      <c r="A24" s="93" t="inlineStr">
        <is>
          <t>Advertencia</t>
        </is>
      </c>
      <c r="B24" s="109" t="n"/>
      <c r="C24" s="68" t="n"/>
      <c r="N24" s="68" t="n"/>
      <c r="O24" s="68" t="n"/>
    </row>
  </sheetData>
  <mergeCells count="20">
    <mergeCell ref="A24:B24"/>
    <mergeCell ref="A15:B15"/>
    <mergeCell ref="C15:M15"/>
    <mergeCell ref="C24:M24"/>
    <mergeCell ref="A16:B16"/>
    <mergeCell ref="C20:M20"/>
    <mergeCell ref="C16:M16"/>
    <mergeCell ref="A18:B18"/>
    <mergeCell ref="C22:M22"/>
    <mergeCell ref="A21:B21"/>
    <mergeCell ref="C21:M21"/>
    <mergeCell ref="A17:B17"/>
    <mergeCell ref="A23:B23"/>
    <mergeCell ref="A22:B22"/>
    <mergeCell ref="C17:M17"/>
    <mergeCell ref="C23:M23"/>
    <mergeCell ref="A20:B20"/>
    <mergeCell ref="A19:B19"/>
    <mergeCell ref="C19:M19"/>
    <mergeCell ref="C18:M1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M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2" min="1" max="1"/>
    <col width="13" customWidth="1" style="32" min="2" max="2"/>
    <col width="18.71" customWidth="1" style="32" min="3" max="3"/>
    <col width="30" customWidth="1" style="32" min="4" max="4"/>
    <col width="40" customWidth="1" style="32" min="5" max="5"/>
    <col width="32" customWidth="1" style="32" min="6" max="6"/>
    <col width="24" customWidth="1" style="32" min="7" max="7"/>
    <col width="20" customWidth="1" style="32" min="8" max="8"/>
    <col width="40" customWidth="1" style="32" min="9" max="9"/>
    <col width="13" customWidth="1" style="32" min="10" max="10"/>
    <col width="40" customWidth="1" style="32" min="11" max="11"/>
    <col width="120" customWidth="1" style="33" min="13" max="13"/>
  </cols>
  <sheetData>
    <row r="1" ht="33" customHeight="1" s="33">
      <c r="A1" s="81" t="inlineStr">
        <is>
          <t>ID</t>
        </is>
      </c>
      <c r="B1" s="81" t="inlineStr">
        <is>
          <t>Tipo</t>
        </is>
      </c>
      <c r="C1" s="81" t="inlineStr">
        <is>
          <t>Historia</t>
        </is>
      </c>
      <c r="D1" s="81" t="inlineStr">
        <is>
          <t>Escenario</t>
        </is>
      </c>
      <c r="E1" s="81" t="inlineStr">
        <is>
          <t>Carga o condición aplicada</t>
        </is>
      </c>
      <c r="F1" s="81" t="inlineStr">
        <is>
          <t>Métrica observada</t>
        </is>
      </c>
      <c r="G1" s="81" t="inlineStr">
        <is>
          <t>Meta acordada</t>
        </is>
      </c>
      <c r="H1" s="81" t="inlineStr">
        <is>
          <t>Herramienta</t>
        </is>
      </c>
      <c r="I1" s="81" t="inlineStr">
        <is>
          <t>Resultado obtenido</t>
        </is>
      </c>
      <c r="J1" s="81" t="inlineStr">
        <is>
          <t>Estado</t>
        </is>
      </c>
      <c r="K1" s="81" t="inlineStr">
        <is>
          <t>Observación</t>
        </is>
      </c>
      <c r="L1" s="68" t="n"/>
      <c r="M1" s="91" t="n"/>
    </row>
    <row r="2" ht="18.5" customHeight="1" s="33">
      <c r="A2" s="84" t="n"/>
      <c r="B2" s="84" t="n"/>
      <c r="C2" s="84" t="n"/>
      <c r="D2" s="84" t="n"/>
      <c r="E2" s="84" t="n"/>
      <c r="F2" s="84" t="n"/>
      <c r="G2" s="84" t="n"/>
      <c r="H2" s="84" t="n"/>
      <c r="I2" s="87" t="n"/>
      <c r="J2" s="89" t="n"/>
      <c r="K2" s="84" t="n"/>
      <c r="L2" s="68" t="n"/>
      <c r="M2" s="68" t="n"/>
    </row>
    <row r="3" ht="18.5" customHeight="1" s="33">
      <c r="A3" s="84" t="n"/>
      <c r="B3" s="84" t="n"/>
      <c r="C3" s="84" t="n"/>
      <c r="D3" s="84" t="n"/>
      <c r="E3" s="84" t="n"/>
      <c r="F3" s="84" t="n"/>
      <c r="G3" s="84" t="n"/>
      <c r="H3" s="84" t="n"/>
      <c r="I3" s="87" t="n"/>
      <c r="J3" s="89" t="n"/>
      <c r="K3" s="84" t="n"/>
      <c r="L3" s="68" t="n"/>
      <c r="M3" s="68" t="n"/>
    </row>
    <row r="4" ht="18.5" customHeight="1" s="33">
      <c r="A4" s="84" t="n"/>
      <c r="B4" s="84" t="n"/>
      <c r="C4" s="84" t="n"/>
      <c r="D4" s="84" t="n"/>
      <c r="E4" s="84" t="n"/>
      <c r="F4" s="84" t="n"/>
      <c r="G4" s="84" t="n"/>
      <c r="H4" s="84" t="n"/>
      <c r="I4" s="87" t="n"/>
      <c r="J4" s="89" t="n"/>
      <c r="K4" s="84" t="n"/>
      <c r="L4" s="68" t="n"/>
      <c r="M4" s="68" t="n"/>
    </row>
    <row r="5" ht="18.5" customHeight="1" s="33">
      <c r="A5" s="84" t="n"/>
      <c r="B5" s="84" t="n"/>
      <c r="C5" s="84" t="n"/>
      <c r="D5" s="84" t="n"/>
      <c r="E5" s="84" t="n"/>
      <c r="F5" s="84" t="n"/>
      <c r="G5" s="84" t="n"/>
      <c r="H5" s="84" t="n"/>
      <c r="I5" s="87" t="n"/>
      <c r="J5" s="89" t="n"/>
      <c r="K5" s="84" t="n"/>
      <c r="L5" s="68" t="n"/>
      <c r="M5" s="68" t="n"/>
    </row>
    <row r="6" ht="18.5" customHeight="1" s="33">
      <c r="A6" s="84" t="n"/>
      <c r="B6" s="84" t="n"/>
      <c r="C6" s="84" t="n"/>
      <c r="D6" s="84" t="n"/>
      <c r="E6" s="84" t="n"/>
      <c r="F6" s="84" t="n"/>
      <c r="G6" s="84" t="n"/>
      <c r="H6" s="84" t="n"/>
      <c r="I6" s="87" t="n"/>
      <c r="J6" s="89" t="n"/>
      <c r="K6" s="84" t="n"/>
      <c r="L6" s="68" t="n"/>
      <c r="M6" s="68" t="n"/>
    </row>
    <row r="7" ht="18.5" customHeight="1" s="33">
      <c r="A7" s="84" t="n"/>
      <c r="B7" s="84" t="n"/>
      <c r="C7" s="84" t="n"/>
      <c r="D7" s="84" t="n"/>
      <c r="E7" s="84" t="n"/>
      <c r="F7" s="84" t="n"/>
      <c r="G7" s="84" t="n"/>
      <c r="H7" s="84" t="n"/>
      <c r="I7" s="87" t="n"/>
      <c r="J7" s="89" t="n"/>
      <c r="K7" s="84" t="n"/>
      <c r="L7" s="68" t="n"/>
      <c r="M7" s="68" t="n"/>
    </row>
    <row r="8" ht="18.5" customHeight="1" s="33">
      <c r="A8" s="84" t="n"/>
      <c r="B8" s="84" t="n"/>
      <c r="C8" s="84" t="n"/>
      <c r="D8" s="84" t="n"/>
      <c r="E8" s="84" t="n"/>
      <c r="F8" s="84" t="n"/>
      <c r="G8" s="84" t="n"/>
      <c r="H8" s="84" t="n"/>
      <c r="I8" s="87" t="n"/>
      <c r="J8" s="95" t="n"/>
      <c r="K8" s="84" t="n"/>
      <c r="L8" s="68" t="n"/>
      <c r="M8" s="68" t="n"/>
    </row>
    <row r="9" ht="18.5" customHeight="1" s="33">
      <c r="A9" s="84" t="n"/>
      <c r="B9" s="84" t="n"/>
      <c r="C9" s="84" t="n"/>
      <c r="D9" s="84" t="n"/>
      <c r="E9" s="84" t="n"/>
      <c r="F9" s="84" t="n"/>
      <c r="G9" s="84" t="n"/>
      <c r="H9" s="84" t="n"/>
      <c r="I9" s="87" t="n"/>
      <c r="J9" s="95" t="n"/>
      <c r="K9" s="84" t="n"/>
      <c r="L9" s="68" t="n"/>
      <c r="M9" s="68" t="n"/>
    </row>
    <row r="10" ht="18.5" customHeight="1" s="33">
      <c r="A10" s="84" t="n"/>
      <c r="B10" s="84" t="n"/>
      <c r="C10" s="84" t="n"/>
      <c r="D10" s="84" t="n"/>
      <c r="E10" s="84" t="n"/>
      <c r="F10" s="84" t="n"/>
      <c r="G10" s="84" t="n"/>
      <c r="H10" s="84" t="n"/>
      <c r="I10" s="87" t="n"/>
      <c r="J10" s="89" t="n"/>
      <c r="K10" s="84" t="n"/>
      <c r="L10" s="68" t="n"/>
      <c r="M10" s="68" t="n"/>
    </row>
    <row r="11" ht="18.5" customHeight="1" s="33">
      <c r="A11" s="84" t="n"/>
      <c r="B11" s="84" t="n"/>
      <c r="C11" s="84" t="n"/>
      <c r="D11" s="84" t="n"/>
      <c r="E11" s="84" t="n"/>
      <c r="F11" s="84" t="n"/>
      <c r="G11" s="84" t="n"/>
      <c r="H11" s="84" t="n"/>
      <c r="I11" s="87" t="n"/>
      <c r="J11" s="89" t="n"/>
      <c r="K11" s="84" t="n"/>
      <c r="L11" s="68" t="n"/>
      <c r="M11" s="68" t="n"/>
    </row>
    <row r="12" ht="18.5" customHeight="1" s="33">
      <c r="A12" s="84" t="n"/>
      <c r="B12" s="84" t="n"/>
      <c r="C12" s="84" t="n"/>
      <c r="D12" s="84" t="n"/>
      <c r="E12" s="84" t="n"/>
      <c r="F12" s="84" t="n"/>
      <c r="G12" s="84" t="n"/>
      <c r="H12" s="84" t="n"/>
      <c r="I12" s="87" t="n"/>
      <c r="J12" s="89" t="n"/>
      <c r="K12" s="84" t="n"/>
      <c r="L12" s="68" t="n"/>
      <c r="M12" s="68" t="n"/>
    </row>
  </sheetData>
  <conditionalFormatting sqref="J2:J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"Cumple"</formula>
    </cfRule>
    <cfRule type="cellIs" rank="0" priority="4" equalAverage="0" operator="equal" aboveAverage="0" dxfId="2" text="" percent="0" bottom="0">
      <formula>"No cumple"</formula>
    </cfRule>
    <cfRule type="cellIs" rank="0" priority="5" equalAverage="0" operator="equal" aboveAverage="0" dxfId="6" text="" percent="0" bottom="0">
      <formula>"Informativo"</formula>
    </cfRule>
    <cfRule type="cellIs" rank="0" priority="6" equalAverage="0" operator="equal" aboveAverage="0" dxfId="3" text="" percent="0" bottom="0">
      <formula>"Bloqueado"</formula>
    </cfRule>
  </conditionalFormatting>
  <conditionalFormatting sqref="B2:B200">
    <cfRule type="cellIs" rank="0" priority="7" equalAverage="0" operator="equal" aboveAverage="0" dxfId="6" text="" percent="0" bottom="0">
      <formula>"Carga"</formula>
    </cfRule>
    <cfRule type="cellIs" rank="0" priority="8" equalAverage="0" operator="equal" aboveAverage="0" dxfId="7" text="" percent="0" bottom="0">
      <formula>"Estrés"</formula>
    </cfRule>
    <cfRule type="cellIs" rank="0" priority="9" equalAverage="0" operator="equal" aboveAverage="0" dxfId="8" text="" percent="0" bottom="0">
      <formula>"Volumen"</formula>
    </cfRule>
    <cfRule type="cellIs" rank="0" priority="10" equalAverage="0" operator="equal" aboveAverage="0" dxfId="9" text="" percent="0" bottom="0">
      <formula>"Límites"</formula>
    </cfRule>
    <cfRule type="cellIs" rank="0" priority="11" equalAverage="0" operator="equal" aboveAverage="0" dxfId="10" text="" percent="0" bottom="0">
      <formula>"Recuperación"</formula>
    </cfRule>
  </conditionalFormatting>
  <dataValidations count="2">
    <dataValidation sqref="B2:B200" showDropDown="0" showInputMessage="0" showErrorMessage="0" allowBlank="1" errorTitle="Valor no válido" error="Elige un valor de la lista." type="list" errorStyle="stop" operator="between">
      <formula1>"Carga,Estrés,Volumen,Límites,Recuperación"</formula1>
      <formula2>0</formula2>
    </dataValidation>
    <dataValidation sqref="J2:J200" showDropDown="0" showInputMessage="0" showErrorMessage="0" allowBlank="1" errorTitle="Valor no válido" error="Elige un valor de la lista." type="list" errorStyle="stop" operator="between">
      <formula1>"Pendiente,Cumple,No cumple,Informativo,Bloqueado"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H100"/>
  <sheetViews>
    <sheetView showFormulas="0" showGridLines="0" showRowColHeaders="1" showZeros="1" rightToLeft="0" tabSelected="1" showOutlineSymbols="1" defaultGridColor="1" view="normal" topLeftCell="A32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2" min="1" max="1"/>
    <col width="16" customWidth="1" style="32" min="2" max="3"/>
    <col width="13" customWidth="1" style="32" min="4" max="7"/>
  </cols>
  <sheetData>
    <row r="1" ht="21" customHeight="1" s="33">
      <c r="A1" s="96" t="inlineStr">
        <is>
          <t>Resumen de ejecución</t>
        </is>
      </c>
      <c r="B1" s="68" t="n"/>
      <c r="C1" s="68" t="n"/>
      <c r="D1" s="68" t="n"/>
      <c r="E1" s="68" t="n"/>
      <c r="F1" s="68" t="n"/>
      <c r="G1" s="68" t="n"/>
      <c r="H1" s="68" t="n"/>
    </row>
    <row r="2" s="33">
      <c r="A2" s="68" t="n"/>
      <c r="B2" s="68" t="n"/>
      <c r="C2" s="68" t="n"/>
      <c r="D2" s="68" t="n"/>
      <c r="E2" s="68" t="n"/>
      <c r="F2" s="68" t="n"/>
      <c r="G2" s="68" t="n"/>
      <c r="H2" s="68" t="n"/>
    </row>
    <row r="3" ht="18.5" customHeight="1" s="33">
      <c r="A3" s="97" t="inlineStr">
        <is>
          <t>Se calcula solo. No escribir en esta hoja.</t>
        </is>
      </c>
      <c r="B3" s="68" t="n"/>
      <c r="C3" s="68" t="n"/>
      <c r="D3" s="68" t="n"/>
      <c r="E3" s="68" t="n"/>
      <c r="F3" s="68" t="n"/>
      <c r="G3" s="68" t="n"/>
      <c r="H3" s="68" t="n"/>
    </row>
    <row r="4" s="33">
      <c r="A4" s="68" t="n"/>
      <c r="B4" s="68" t="n"/>
      <c r="C4" s="68" t="n"/>
      <c r="D4" s="68" t="n"/>
      <c r="E4" s="68" t="n"/>
      <c r="F4" s="68" t="n"/>
      <c r="G4" s="68" t="n"/>
      <c r="H4" s="68" t="n"/>
    </row>
    <row r="5" ht="18.5" customHeight="1" s="33">
      <c r="A5" s="98" t="inlineStr">
        <is>
          <t>Indicador</t>
        </is>
      </c>
      <c r="B5" s="98" t="inlineStr">
        <is>
          <t>Cantidad</t>
        </is>
      </c>
      <c r="C5" s="98" t="inlineStr">
        <is>
          <t>% del total</t>
        </is>
      </c>
      <c r="D5" s="68" t="n"/>
      <c r="E5" s="68" t="n"/>
      <c r="F5" s="68" t="n"/>
      <c r="G5" s="68" t="n"/>
      <c r="H5" s="68" t="n"/>
    </row>
    <row r="6" ht="18.5" customHeight="1" s="33">
      <c r="A6" s="99" t="inlineStr">
        <is>
          <t>Total de casos</t>
        </is>
      </c>
      <c r="B6" s="99">
        <f>COUNTA('Casos de Prueba'!A2:A200)</f>
        <v/>
      </c>
      <c r="C6" s="100" t="n"/>
      <c r="D6" s="68" t="n"/>
      <c r="E6" s="68" t="n"/>
      <c r="F6" s="68" t="n"/>
      <c r="G6" s="68" t="n"/>
      <c r="H6" s="68" t="n"/>
    </row>
    <row r="7" ht="18.5" customHeight="1" s="33">
      <c r="A7" s="99" t="inlineStr">
        <is>
          <t>Pendientes</t>
        </is>
      </c>
      <c r="B7" s="99">
        <f>COUNTIF('Casos de Prueba'!L2:L200,"Pendiente")</f>
        <v/>
      </c>
      <c r="C7" s="101">
        <f>IF(B6=0,0,B7/B6)</f>
        <v/>
      </c>
      <c r="D7" s="68" t="n"/>
      <c r="E7" s="68" t="n"/>
      <c r="F7" s="68" t="n"/>
      <c r="G7" s="68" t="n"/>
      <c r="H7" s="68" t="n"/>
    </row>
    <row r="8" ht="18.5" customHeight="1" s="33">
      <c r="A8" s="99" t="inlineStr">
        <is>
          <t>Aprobados</t>
        </is>
      </c>
      <c r="B8" s="99">
        <f>COUNTIF('Casos de Prueba'!L2:L200,"Aprobado")</f>
        <v/>
      </c>
      <c r="C8" s="101">
        <f>IF(B6=0,0,B8/B6)</f>
        <v/>
      </c>
      <c r="D8" s="68" t="n"/>
      <c r="E8" s="68" t="n"/>
      <c r="F8" s="68" t="n"/>
      <c r="G8" s="68" t="n"/>
      <c r="H8" s="68" t="n"/>
    </row>
    <row r="9" ht="18.5" customHeight="1" s="33">
      <c r="A9" s="99" t="inlineStr">
        <is>
          <t>Fallidos</t>
        </is>
      </c>
      <c r="B9" s="99">
        <f>COUNTIF('Casos de Prueba'!L2:L200,"Fallido")</f>
        <v/>
      </c>
      <c r="C9" s="101">
        <f>IF(B6=0,0,B9/B6)</f>
        <v/>
      </c>
      <c r="D9" s="68" t="n"/>
      <c r="E9" s="68" t="n"/>
      <c r="F9" s="68" t="n"/>
      <c r="G9" s="68" t="n"/>
      <c r="H9" s="68" t="n"/>
    </row>
    <row r="10" ht="18.5" customHeight="1" s="33">
      <c r="A10" s="99" t="inlineStr">
        <is>
          <t>Bloqueados</t>
        </is>
      </c>
      <c r="B10" s="99">
        <f>COUNTIF('Casos de Prueba'!L2:L200,"Bloqueado")</f>
        <v/>
      </c>
      <c r="C10" s="101">
        <f>IF(B6=0,0,B10/B6)</f>
        <v/>
      </c>
      <c r="D10" s="68" t="n"/>
      <c r="E10" s="68" t="n"/>
      <c r="F10" s="68" t="n"/>
      <c r="G10" s="68" t="n"/>
      <c r="H10" s="68" t="n"/>
    </row>
    <row r="11" ht="18.5" customHeight="1" s="33">
      <c r="A11" s="99" t="inlineStr">
        <is>
          <t>No aplica</t>
        </is>
      </c>
      <c r="B11" s="99">
        <f>COUNTIF('Casos de Prueba'!L2:L200,"No aplica")</f>
        <v/>
      </c>
      <c r="C11" s="101">
        <f>IF(B6=0,0,B11/B6)</f>
        <v/>
      </c>
      <c r="D11" s="68" t="n"/>
      <c r="E11" s="68" t="n"/>
      <c r="F11" s="68" t="n"/>
      <c r="G11" s="68" t="n"/>
      <c r="H11" s="68" t="n"/>
    </row>
    <row r="12" ht="18.5" customHeight="1" s="33">
      <c r="A12" s="99" t="inlineStr">
        <is>
          <t>Casos críticos</t>
        </is>
      </c>
      <c r="B12" s="99">
        <f>COUNTIF('Casos de Prueba'!E2:E200,"Crítica")</f>
        <v/>
      </c>
      <c r="C12" s="101">
        <f>IF(B6=0,0,B12/B6)</f>
        <v/>
      </c>
      <c r="D12" s="68" t="n"/>
      <c r="E12" s="68" t="n"/>
      <c r="F12" s="68" t="n"/>
      <c r="G12" s="68" t="n"/>
      <c r="H12" s="68" t="n"/>
    </row>
    <row r="13" ht="18.5" customHeight="1" s="33">
      <c r="A13" s="99" t="inlineStr">
        <is>
          <t>Críticos aprobados</t>
        </is>
      </c>
      <c r="B13" s="99">
        <f>COUNTIFS('Casos de Prueba'!E2:E200,"Crítica",'Casos de Prueba'!L2:L200,"Aprobado")</f>
        <v/>
      </c>
      <c r="C13" s="101">
        <f>IF(B12=0,0,B13/B12)</f>
        <v/>
      </c>
      <c r="D13" s="68" t="n"/>
      <c r="E13" s="68" t="n"/>
      <c r="F13" s="68" t="n"/>
      <c r="G13" s="68" t="n"/>
      <c r="H13" s="68" t="n"/>
    </row>
    <row r="14" s="33">
      <c r="A14" s="68" t="n"/>
      <c r="B14" s="68" t="n"/>
      <c r="C14" s="68" t="n"/>
      <c r="D14" s="68" t="n"/>
      <c r="E14" s="68" t="n"/>
      <c r="F14" s="68" t="n"/>
      <c r="G14" s="68" t="n"/>
      <c r="H14" s="68" t="n"/>
    </row>
    <row r="15" ht="18.5" customHeight="1" s="33">
      <c r="A15" s="72" t="inlineStr">
        <is>
          <t>Pruebas no funcionales por tipo</t>
        </is>
      </c>
      <c r="B15" s="68" t="n"/>
      <c r="C15" s="68" t="n"/>
      <c r="D15" s="68" t="n"/>
      <c r="E15" s="68" t="n"/>
      <c r="F15" s="68" t="n"/>
      <c r="G15" s="68" t="n"/>
      <c r="H15" s="68" t="n"/>
    </row>
    <row r="16" ht="18.5" customHeight="1" s="33">
      <c r="A16" s="98" t="inlineStr">
        <is>
          <t>Indicador</t>
        </is>
      </c>
      <c r="B16" s="98" t="inlineStr">
        <is>
          <t>Cantidad</t>
        </is>
      </c>
      <c r="C16" s="98" t="inlineStr">
        <is>
          <t>% del total</t>
        </is>
      </c>
      <c r="D16" s="68" t="n"/>
      <c r="E16" s="68" t="n"/>
      <c r="F16" s="68" t="n"/>
      <c r="G16" s="68" t="n"/>
      <c r="H16" s="68" t="n"/>
    </row>
    <row r="17" ht="18.5" customHeight="1" s="33">
      <c r="A17" s="99" t="inlineStr">
        <is>
          <t>Total no funcionales</t>
        </is>
      </c>
      <c r="B17" s="99">
        <f>COUNTA('Pruebas No Funcionales'!A2:A200)</f>
        <v/>
      </c>
      <c r="C17" s="100" t="n"/>
      <c r="D17" s="68" t="n"/>
      <c r="E17" s="68" t="n"/>
      <c r="F17" s="68" t="n"/>
      <c r="G17" s="68" t="n"/>
      <c r="H17" s="68" t="n"/>
    </row>
    <row r="18" ht="18.5" customHeight="1" s="33">
      <c r="A18" s="99" t="inlineStr">
        <is>
          <t>Carga</t>
        </is>
      </c>
      <c r="B18" s="99">
        <f>COUNTIF('Pruebas No Funcionales'!B2:B200,"Carga")</f>
        <v/>
      </c>
      <c r="C18" s="101">
        <f>IF(B17=0,0,B18/B17)</f>
        <v/>
      </c>
      <c r="D18" s="68" t="n"/>
      <c r="E18" s="68" t="n"/>
      <c r="F18" s="68" t="n"/>
      <c r="G18" s="68" t="n"/>
      <c r="H18" s="68" t="n"/>
    </row>
    <row r="19" ht="18.5" customHeight="1" s="33">
      <c r="A19" s="99" t="inlineStr">
        <is>
          <t>Estrés</t>
        </is>
      </c>
      <c r="B19" s="99">
        <f>COUNTIF('Pruebas No Funcionales'!B2:B200,"Estrés")</f>
        <v/>
      </c>
      <c r="C19" s="101">
        <f>IF(B17=0,0,B19/B17)</f>
        <v/>
      </c>
      <c r="D19" s="68" t="n"/>
      <c r="E19" s="68" t="n"/>
      <c r="F19" s="68" t="n"/>
      <c r="G19" s="68" t="n"/>
      <c r="H19" s="68" t="n"/>
    </row>
    <row r="20" ht="18.5" customHeight="1" s="33">
      <c r="A20" s="99" t="inlineStr">
        <is>
          <t>Volumen</t>
        </is>
      </c>
      <c r="B20" s="99">
        <f>COUNTIF('Pruebas No Funcionales'!B2:B200,"Volumen")</f>
        <v/>
      </c>
      <c r="C20" s="101">
        <f>IF(B17=0,0,B20/B17)</f>
        <v/>
      </c>
      <c r="D20" s="68" t="n"/>
      <c r="E20" s="68" t="n"/>
      <c r="F20" s="68" t="n"/>
      <c r="G20" s="68" t="n"/>
      <c r="H20" s="68" t="n"/>
    </row>
    <row r="21" ht="18.5" customHeight="1" s="33">
      <c r="A21" s="99" t="inlineStr">
        <is>
          <t>Límites</t>
        </is>
      </c>
      <c r="B21" s="99">
        <f>COUNTIF('Pruebas No Funcionales'!B2:B200,"Límites")</f>
        <v/>
      </c>
      <c r="C21" s="101">
        <f>IF(B17=0,0,B21/B17)</f>
        <v/>
      </c>
      <c r="D21" s="68" t="n"/>
      <c r="E21" s="68" t="n"/>
      <c r="F21" s="68" t="n"/>
      <c r="G21" s="68" t="n"/>
      <c r="H21" s="68" t="n"/>
    </row>
    <row r="22" ht="18.5" customHeight="1" s="33">
      <c r="A22" s="99" t="inlineStr">
        <is>
          <t>Recuperación</t>
        </is>
      </c>
      <c r="B22" s="99">
        <f>COUNTIF('Pruebas No Funcionales'!B2:B200,"Recuperación")</f>
        <v/>
      </c>
      <c r="C22" s="101">
        <f>IF(B17=0,0,B22/B17)</f>
        <v/>
      </c>
      <c r="D22" s="68" t="n"/>
      <c r="E22" s="68" t="n"/>
      <c r="F22" s="68" t="n"/>
      <c r="G22" s="68" t="n"/>
      <c r="H22" s="68" t="n"/>
    </row>
    <row r="23" s="33">
      <c r="A23" s="68" t="n"/>
      <c r="B23" s="68" t="n"/>
      <c r="C23" s="68" t="n"/>
      <c r="D23" s="68" t="n"/>
      <c r="E23" s="68" t="n"/>
      <c r="F23" s="68" t="n"/>
      <c r="G23" s="68" t="n"/>
      <c r="H23" s="68" t="n"/>
    </row>
    <row r="24" ht="18.5" customHeight="1" s="33">
      <c r="A24" s="72" t="inlineStr">
        <is>
          <t>Pruebas no funcionales por estado</t>
        </is>
      </c>
      <c r="B24" s="68" t="n"/>
      <c r="C24" s="68" t="n"/>
      <c r="D24" s="68" t="n"/>
      <c r="E24" s="68" t="n"/>
      <c r="F24" s="68" t="n"/>
      <c r="G24" s="68" t="n"/>
      <c r="H24" s="68" t="n"/>
    </row>
    <row r="25" ht="18.5" customHeight="1" s="33">
      <c r="A25" s="98" t="inlineStr">
        <is>
          <t>Indicador</t>
        </is>
      </c>
      <c r="B25" s="98" t="inlineStr">
        <is>
          <t>Cantidad</t>
        </is>
      </c>
      <c r="C25" s="98" t="inlineStr">
        <is>
          <t>% del total</t>
        </is>
      </c>
      <c r="D25" s="68" t="n"/>
      <c r="E25" s="68" t="n"/>
      <c r="F25" s="68" t="n"/>
      <c r="G25" s="68" t="n"/>
      <c r="H25" s="68" t="n"/>
    </row>
    <row r="26" ht="18.5" customHeight="1" s="33">
      <c r="A26" s="99" t="inlineStr">
        <is>
          <t>Total no funcionales</t>
        </is>
      </c>
      <c r="B26" s="99">
        <f>COUNTA('Pruebas No Funcionales'!A2:A200)</f>
        <v/>
      </c>
      <c r="C26" s="100" t="n"/>
      <c r="D26" s="68" t="n"/>
      <c r="E26" s="68" t="n"/>
      <c r="F26" s="68" t="n"/>
      <c r="G26" s="68" t="n"/>
      <c r="H26" s="68" t="n"/>
    </row>
    <row r="27" ht="18.5" customHeight="1" s="33">
      <c r="A27" s="99" t="inlineStr">
        <is>
          <t>Pendiente</t>
        </is>
      </c>
      <c r="B27" s="99">
        <f>COUNTIF('Pruebas No Funcionales'!J2:J200,"Pendiente")</f>
        <v/>
      </c>
      <c r="C27" s="101">
        <f>IF(B26=0,0,B27/B26)</f>
        <v/>
      </c>
      <c r="D27" s="68" t="n"/>
      <c r="E27" s="68" t="n"/>
      <c r="F27" s="68" t="n"/>
      <c r="G27" s="68" t="n"/>
      <c r="H27" s="68" t="n"/>
    </row>
    <row r="28" ht="18.5" customHeight="1" s="33">
      <c r="A28" s="99" t="inlineStr">
        <is>
          <t>Cumple</t>
        </is>
      </c>
      <c r="B28" s="99">
        <f>COUNTIF('Pruebas No Funcionales'!J2:J200,"Cumple")</f>
        <v/>
      </c>
      <c r="C28" s="101">
        <f>IF(B26=0,0,B28/B26)</f>
        <v/>
      </c>
      <c r="D28" s="68" t="n"/>
      <c r="E28" s="68" t="n"/>
      <c r="F28" s="68" t="n"/>
      <c r="G28" s="68" t="n"/>
      <c r="H28" s="68" t="n"/>
    </row>
    <row r="29" ht="18.5" customHeight="1" s="33">
      <c r="A29" s="99" t="inlineStr">
        <is>
          <t>No cumple</t>
        </is>
      </c>
      <c r="B29" s="99">
        <f>COUNTIF('Pruebas No Funcionales'!J2:J200,"No cumple")</f>
        <v/>
      </c>
      <c r="C29" s="101">
        <f>IF(B26=0,0,B29/B26)</f>
        <v/>
      </c>
      <c r="D29" s="68" t="n"/>
      <c r="E29" s="68" t="n"/>
      <c r="F29" s="68" t="n"/>
      <c r="G29" s="68" t="n"/>
      <c r="H29" s="68" t="n"/>
    </row>
    <row r="30" ht="18.5" customHeight="1" s="33">
      <c r="A30" s="99" t="inlineStr">
        <is>
          <t>Informativo</t>
        </is>
      </c>
      <c r="B30" s="99">
        <f>COUNTIF('Pruebas No Funcionales'!J2:J200,"Informativo")</f>
        <v/>
      </c>
      <c r="C30" s="101">
        <f>IF(B26=0,0,B30/B26)</f>
        <v/>
      </c>
      <c r="D30" s="68" t="n"/>
      <c r="E30" s="68" t="n"/>
      <c r="F30" s="68" t="n"/>
      <c r="G30" s="68" t="n"/>
      <c r="H30" s="68" t="n"/>
    </row>
    <row r="31" ht="18.5" customHeight="1" s="33">
      <c r="A31" s="99" t="inlineStr">
        <is>
          <t>Bloqueado</t>
        </is>
      </c>
      <c r="B31" s="99">
        <f>COUNTIF('Pruebas No Funcionales'!J2:J200,"Bloqueado")</f>
        <v/>
      </c>
      <c r="C31" s="101">
        <f>IF(B26=0,0,B31/B26)</f>
        <v/>
      </c>
      <c r="D31" s="68" t="n"/>
      <c r="E31" s="68" t="n"/>
      <c r="F31" s="68" t="n"/>
      <c r="G31" s="68" t="n"/>
      <c r="H31" s="68" t="n"/>
    </row>
    <row r="32" s="33">
      <c r="A32" s="68" t="n"/>
      <c r="B32" s="68" t="n"/>
      <c r="C32" s="68" t="n"/>
      <c r="D32" s="68" t="n"/>
      <c r="E32" s="68" t="n"/>
      <c r="F32" s="68" t="n"/>
      <c r="G32" s="68" t="n"/>
      <c r="H32" s="68" t="n"/>
    </row>
    <row r="33" ht="18.5" customHeight="1" s="33">
      <c r="A33" s="72" t="inlineStr">
        <is>
          <t>Resultado por historia</t>
        </is>
      </c>
      <c r="B33" s="68" t="n"/>
      <c r="C33" s="68" t="n"/>
      <c r="D33" s="68" t="n"/>
      <c r="E33" s="68" t="n"/>
      <c r="F33" s="68" t="n"/>
      <c r="G33" s="68" t="n"/>
      <c r="H33" s="68" t="n"/>
    </row>
    <row r="34" ht="18.5" customHeight="1" s="33">
      <c r="A34" s="98" t="inlineStr">
        <is>
          <t>Historia</t>
        </is>
      </c>
      <c r="B34" s="98" t="inlineStr">
        <is>
          <t>Total</t>
        </is>
      </c>
      <c r="C34" s="98" t="inlineStr">
        <is>
          <t>Aprobados</t>
        </is>
      </c>
      <c r="D34" s="98" t="inlineStr">
        <is>
          <t>Fallidos</t>
        </is>
      </c>
      <c r="E34" s="98" t="inlineStr">
        <is>
          <t>Bloqueados</t>
        </is>
      </c>
      <c r="F34" s="98" t="inlineStr">
        <is>
          <t>Críticos fallidos</t>
        </is>
      </c>
      <c r="G34" s="98" t="inlineStr">
        <is>
          <t>Veredicto</t>
        </is>
      </c>
      <c r="H34" s="68" t="n"/>
    </row>
    <row r="35" ht="18.5" customHeight="1" s="33">
      <c r="A35" s="99" t="inlineStr">
        <is>
          <t>HT-06</t>
        </is>
      </c>
      <c r="B35" s="99">
        <f>COUNTIF('Casos de Prueba'!B2:B200,LEFT($A35,FIND(" ",$A35&amp;" ")-1))</f>
        <v/>
      </c>
      <c r="C35" s="99">
        <f>COUNTIFS('Casos de Prueba'!B2:B200,LEFT($A35,FIND(" ",$A35&amp;" ")-1),'Casos de Prueba'!L2:L200,"Aprobado")</f>
        <v/>
      </c>
      <c r="D35" s="99">
        <f>COUNTIFS('Casos de Prueba'!B2:B200,LEFT($A35,FIND(" ",$A35&amp;" ")-1),'Casos de Prueba'!L2:L200,"Fallido")</f>
        <v/>
      </c>
      <c r="E35" s="99">
        <f>COUNTIFS('Casos de Prueba'!B2:B200,LEFT($A35,FIND(" ",$A35&amp;" ")-1),'Casos de Prueba'!L2:L200,"Bloqueado")</f>
        <v/>
      </c>
      <c r="F35" s="99">
        <f>COUNTIFS('Casos de Prueba'!B2:B200,LEFT($A35,FIND(" ",$A35&amp;" ")-1),'Casos de Prueba'!L2:L200,"Fallido",'Casos de Prueba'!E2:E200,"Crítica")+COUNTIFS('Casos de Prueba'!B2:B200,LEFT($A35,FIND(" ",$A35&amp;" ")-1),'Casos de Prueba'!L2:L200,"Bloqueado",'Casos de Prueba'!E2:E200,"Crítica")</f>
        <v/>
      </c>
      <c r="G35" s="99">
        <f>IF(B35=0,"Sin casos",IF(SUM(C35:E35)&lt;B35,"Pendiente",IF(D35+E35=0,"Pasa","No pasa")))</f>
        <v/>
      </c>
      <c r="H35" s="68" t="n"/>
    </row>
    <row r="36" ht="18.5" customHeight="1" s="33">
      <c r="A36" s="99" t="inlineStr">
        <is>
          <t>HU-18</t>
        </is>
      </c>
      <c r="B36" s="99">
        <f>COUNTIF('Casos de Prueba'!B2:B200,LEFT($A36,FIND(" ",$A36&amp;" ")-1))</f>
        <v/>
      </c>
      <c r="C36" s="99">
        <f>COUNTIFS('Casos de Prueba'!B2:B200,LEFT($A36,FIND(" ",$A36&amp;" ")-1),'Casos de Prueba'!L2:L200,"Aprobado")</f>
        <v/>
      </c>
      <c r="D36" s="99">
        <f>COUNTIFS('Casos de Prueba'!B2:B200,LEFT($A36,FIND(" ",$A36&amp;" ")-1),'Casos de Prueba'!L2:L200,"Fallido")</f>
        <v/>
      </c>
      <c r="E36" s="99">
        <f>COUNTIFS('Casos de Prueba'!B2:B200,LEFT($A36,FIND(" ",$A36&amp;" ")-1),'Casos de Prueba'!L2:L200,"Bloqueado")</f>
        <v/>
      </c>
      <c r="F36" s="99">
        <f>COUNTIFS('Casos de Prueba'!B2:B200,LEFT($A36,FIND(" ",$A36&amp;" ")-1),'Casos de Prueba'!L2:L200,"Fallido",'Casos de Prueba'!E2:E200,"Crítica")+COUNTIFS('Casos de Prueba'!B2:B200,LEFT($A36,FIND(" ",$A36&amp;" ")-1),'Casos de Prueba'!L2:L200,"Bloqueado",'Casos de Prueba'!E2:E200,"Crítica")</f>
        <v/>
      </c>
      <c r="G36" s="99">
        <f>IF(B36=0,"Sin casos",IF(SUM(C36:E36)&lt;B36,"Pendiente",IF(D36+E36=0,"Pasa","No pasa")))</f>
        <v/>
      </c>
      <c r="H36" s="68" t="n"/>
    </row>
    <row r="37" ht="18.5" customHeight="1" s="33">
      <c r="A37" s="99" t="inlineStr">
        <is>
          <t>HU-26</t>
        </is>
      </c>
      <c r="B37" s="99">
        <f>COUNTIF('Casos de Prueba'!B2:B200,LEFT($A37,FIND(" ",$A37&amp;" ")-1))</f>
        <v/>
      </c>
      <c r="C37" s="99">
        <f>COUNTIFS('Casos de Prueba'!B2:B200,LEFT($A37,FIND(" ",$A37&amp;" ")-1),'Casos de Prueba'!L2:L200,"Aprobado")</f>
        <v/>
      </c>
      <c r="D37" s="99">
        <f>COUNTIFS('Casos de Prueba'!B2:B200,LEFT($A37,FIND(" ",$A37&amp;" ")-1),'Casos de Prueba'!L2:L200,"Fallido")</f>
        <v/>
      </c>
      <c r="E37" s="99">
        <f>COUNTIFS('Casos de Prueba'!B2:B200,LEFT($A37,FIND(" ",$A37&amp;" ")-1),'Casos de Prueba'!L2:L200,"Bloqueado")</f>
        <v/>
      </c>
      <c r="F37" s="99">
        <f>COUNTIFS('Casos de Prueba'!B2:B200,LEFT($A37,FIND(" ",$A37&amp;" ")-1),'Casos de Prueba'!L2:L200,"Fallido",'Casos de Prueba'!E2:E200,"Crítica")+COUNTIFS('Casos de Prueba'!B2:B200,LEFT($A37,FIND(" ",$A37&amp;" ")-1),'Casos de Prueba'!L2:L200,"Bloqueado",'Casos de Prueba'!E2:E200,"Crítica")</f>
        <v/>
      </c>
      <c r="G37" s="99">
        <f>IF(B37=0,"Sin casos",IF(SUM(C37:E37)&lt;B37,"Pendiente",IF(D37+E37=0,"Pasa","No pasa")))</f>
        <v/>
      </c>
      <c r="H37" s="68" t="n"/>
    </row>
    <row r="38" ht="51.9" customHeight="1" s="33">
      <c r="A38" s="99" t="inlineStr">
        <is>
          <t>HU-34</t>
        </is>
      </c>
      <c r="B38" s="99">
        <f>COUNTIF('Casos de Prueba'!B2:B200,LEFT($A38,FIND(" ",$A38&amp;" ")-1))</f>
        <v/>
      </c>
      <c r="C38" s="99">
        <f>COUNTIFS('Casos de Prueba'!B2:B200,LEFT($A38,FIND(" ",$A38&amp;" ")-1),'Casos de Prueba'!L2:L200,"Aprobado")</f>
        <v/>
      </c>
      <c r="D38" s="99">
        <f>COUNTIFS('Casos de Prueba'!B2:B200,LEFT($A38,FIND(" ",$A38&amp;" ")-1),'Casos de Prueba'!L2:L200,"Fallido")</f>
        <v/>
      </c>
      <c r="E38" s="99">
        <f>COUNTIFS('Casos de Prueba'!B2:B200,LEFT($A38,FIND(" ",$A38&amp;" ")-1),'Casos de Prueba'!L2:L200,"Bloqueado")</f>
        <v/>
      </c>
      <c r="F38" s="99">
        <f>COUNTIFS('Casos de Prueba'!B2:B200,LEFT($A38,FIND(" ",$A38&amp;" ")-1),'Casos de Prueba'!L2:L200,"Fallido",'Casos de Prueba'!E2:E200,"Crítica")+COUNTIFS('Casos de Prueba'!B2:B200,LEFT($A38,FIND(" ",$A38&amp;" ")-1),'Casos de Prueba'!L2:L200,"Bloqueado",'Casos de Prueba'!E2:E200,"Crítica")</f>
        <v/>
      </c>
      <c r="G38" s="99">
        <f>IF(B38=0,"Sin casos",IF(SUM(C38:E38)&lt;B38,"Pendiente",IF(D38+E38=0,"Pasa","No pasa")))</f>
        <v/>
      </c>
      <c r="H38" s="68" t="n"/>
    </row>
    <row r="39" ht="51.9" customHeight="1" s="33">
      <c r="A39" s="103" t="inlineStr">
        <is>
          <t>Por qué falla cada historia: Matriz_de_Trazabilidad_RTM.xlsx, hoja Historias, columna «Por qué no pasa».</t>
        </is>
      </c>
      <c r="B39" s="68" t="n"/>
      <c r="C39" s="68" t="n"/>
      <c r="D39" s="68" t="n"/>
      <c r="E39" s="68" t="n"/>
      <c r="F39" s="68" t="n"/>
      <c r="G39" s="68" t="n"/>
      <c r="H39" s="68" t="n"/>
    </row>
    <row r="40" ht="35.9" customHeight="1" s="33">
      <c r="A40" s="103" t="inlineStr">
        <is>
          <t>La cobertura de requisitos se calcula en Matriz_de_Trazabilidad_RTM.xlsx (carpeta 05).</t>
        </is>
      </c>
      <c r="B40" s="68" t="n"/>
      <c r="C40" s="68" t="n"/>
      <c r="D40" s="68" t="n"/>
      <c r="E40" s="68" t="n"/>
      <c r="F40" s="68" t="n"/>
      <c r="G40" s="68" t="n"/>
      <c r="H40" s="68" t="n"/>
    </row>
    <row r="41" ht="18.5" customHeight="1" s="33">
      <c r="A41" s="103" t="inlineStr">
        <is>
          <t>Los defectos se registran en Registro_de_Defectos.xlsx (carpeta 04).</t>
        </is>
      </c>
      <c r="B41" s="68" t="n"/>
      <c r="C41" s="68" t="n"/>
      <c r="D41" s="68" t="n"/>
      <c r="E41" s="68" t="n"/>
      <c r="F41" s="68" t="n"/>
      <c r="G41" s="68" t="n"/>
      <c r="H41" s="68" t="n"/>
    </row>
    <row r="42" ht="18.5" customHeight="1" s="33">
      <c r="A42" s="104" t="inlineStr">
        <is>
          <t>Criterio de cierre: 100 % de los casos críticos aprobados, ningún defecto Crítico o Alto abierto y ningún requisito sin cubrir.</t>
        </is>
      </c>
      <c r="B42" s="110" t="n"/>
      <c r="C42" s="110" t="n"/>
      <c r="D42" s="110" t="n"/>
      <c r="E42" s="110" t="n"/>
      <c r="F42" s="110" t="n"/>
      <c r="G42" s="108" t="n"/>
      <c r="H42" s="68" t="n"/>
    </row>
    <row r="43" ht="18.5" customHeight="1" s="33">
      <c r="A43" s="72" t="inlineStr">
        <is>
          <t>Suite de regresión (hoja Regresión)</t>
        </is>
      </c>
      <c r="B43" s="68" t="n"/>
      <c r="C43" s="68" t="n"/>
      <c r="D43" s="68" t="n"/>
      <c r="E43" s="68" t="n"/>
      <c r="F43" s="68" t="n"/>
      <c r="G43" s="68" t="n"/>
      <c r="H43" s="68" t="n"/>
    </row>
    <row r="44" ht="18.5" customHeight="1" s="33">
      <c r="A44" s="98" t="inlineStr">
        <is>
          <t>Indicador</t>
        </is>
      </c>
      <c r="B44" s="98" t="inlineStr">
        <is>
          <t>Cantidad</t>
        </is>
      </c>
      <c r="C44" s="98" t="inlineStr">
        <is>
          <t>Aprobados</t>
        </is>
      </c>
      <c r="D44" s="98" t="inlineStr">
        <is>
          <t>Fallidos</t>
        </is>
      </c>
      <c r="E44" s="98" t="inlineStr">
        <is>
          <t>Pendientes</t>
        </is>
      </c>
      <c r="F44" s="68" t="n"/>
      <c r="G44" s="68" t="n"/>
      <c r="H44" s="68" t="n"/>
    </row>
    <row r="45" ht="18.5" customHeight="1" s="33">
      <c r="A45" s="99" t="inlineStr">
        <is>
          <t>Total</t>
        </is>
      </c>
      <c r="B45" s="99">
        <f>COUNTA(Regresión!A2:A200)</f>
        <v/>
      </c>
      <c r="C45" s="99">
        <f>COUNTIF(Regresión!M2:M200,"Aprobado")</f>
        <v/>
      </c>
      <c r="D45" s="99">
        <f>COUNTIF(Regresión!M2:M200,"Fallido")</f>
        <v/>
      </c>
      <c r="E45" s="99">
        <f>COUNTIF(Regresión!M2:M200,"Pendiente")</f>
        <v/>
      </c>
      <c r="F45" s="68" t="n"/>
      <c r="G45" s="68" t="n"/>
      <c r="H45" s="68" t="n"/>
    </row>
    <row r="46" ht="18.5" customHeight="1" s="33">
      <c r="A46" s="99" t="inlineStr">
        <is>
          <t>Humo</t>
        </is>
      </c>
      <c r="B46" s="99">
        <f>COUNTIF(Regresión!B2:B200,"Humo")</f>
        <v/>
      </c>
      <c r="C46" s="99">
        <f>COUNTIFS(Regresión!B2:B200,"Humo",Regresión!M2:M200,"Aprobado")</f>
        <v/>
      </c>
      <c r="D46" s="99">
        <f>COUNTIFS(Regresión!B2:B200,"Humo",Regresión!M2:M200,"Fallido")</f>
        <v/>
      </c>
      <c r="E46" s="99">
        <f>COUNTIFS(Regresión!B2:B200,"Humo",Regresión!M2:M200,"Pendiente")</f>
        <v/>
      </c>
      <c r="F46" s="68" t="n"/>
      <c r="G46" s="68" t="n"/>
      <c r="H46" s="68" t="n"/>
    </row>
    <row r="47" ht="41.75" customHeight="1" s="33">
      <c r="A47" s="99" t="inlineStr">
        <is>
          <t>Reprueba</t>
        </is>
      </c>
      <c r="B47" s="99">
        <f>COUNTIF(Regresión!B2:B200,"Reprueba")</f>
        <v/>
      </c>
      <c r="C47" s="99">
        <f>COUNTIFS(Regresión!B2:B200,"Reprueba",Regresión!M2:M200,"Aprobado")</f>
        <v/>
      </c>
      <c r="D47" s="99">
        <f>COUNTIFS(Regresión!B2:B200,"Reprueba",Regresión!M2:M200,"Fallido")</f>
        <v/>
      </c>
      <c r="E47" s="99">
        <f>COUNTIFS(Regresión!B2:B200,"Reprueba",Regresión!M2:M200,"Pendiente")</f>
        <v/>
      </c>
      <c r="F47" s="68" t="n"/>
      <c r="G47" s="68" t="n"/>
      <c r="H47" s="68" t="n"/>
    </row>
    <row r="48" ht="41.75" customHeight="1" s="33">
      <c r="A48" s="99" t="inlineStr">
        <is>
          <t>Regresión</t>
        </is>
      </c>
      <c r="B48" s="99">
        <f>COUNTIF(Regresión!B2:B200,"Regresión")</f>
        <v/>
      </c>
      <c r="C48" s="99">
        <f>COUNTIFS(Regresión!B2:B200,"Regresión",Regresión!M2:M200,"Aprobado")</f>
        <v/>
      </c>
      <c r="D48" s="99">
        <f>COUNTIFS(Regresión!B2:B200,"Regresión",Regresión!M2:M200,"Fallido")</f>
        <v/>
      </c>
      <c r="E48" s="99">
        <f>COUNTIFS(Regresión!B2:B200,"Regresión",Regresión!M2:M200,"Pendiente")</f>
        <v/>
      </c>
      <c r="F48" s="68" t="n"/>
      <c r="G48" s="68" t="n"/>
      <c r="H48" s="68" t="n"/>
    </row>
    <row r="49" ht="28.35" customHeight="1" s="33">
      <c r="A49" s="68" t="n"/>
      <c r="B49" s="68" t="n"/>
      <c r="C49" s="68" t="n"/>
      <c r="D49" s="68" t="n"/>
      <c r="E49" s="68" t="n"/>
      <c r="F49" s="68" t="n"/>
      <c r="G49" s="68" t="n"/>
      <c r="H49" s="68" t="n"/>
    </row>
    <row r="50" ht="18.5" customHeight="1" s="33">
      <c r="A50" s="97" t="inlineStr">
        <is>
          <t>La regresión se aprueba cuando el humo pasa completo, cada reprueba pasa y ningún caso de Regresión falla.</t>
        </is>
      </c>
      <c r="B50" s="68" t="n"/>
      <c r="C50" s="68" t="n"/>
      <c r="D50" s="68" t="n"/>
      <c r="E50" s="68" t="n"/>
      <c r="F50" s="68" t="n"/>
      <c r="G50" s="68" t="n"/>
      <c r="H50" s="68" t="n"/>
    </row>
    <row r="51" ht="18.5" customHeight="1" s="33">
      <c r="A51" s="68" t="n"/>
      <c r="B51" s="68" t="n"/>
      <c r="C51" s="68" t="n"/>
      <c r="D51" s="68" t="n"/>
      <c r="E51" s="68" t="n"/>
      <c r="F51" s="68" t="n"/>
      <c r="G51" s="68" t="n"/>
      <c r="H51" s="68" t="n"/>
    </row>
    <row r="52" ht="18.5" customHeight="1" s="33">
      <c r="A52" s="72" t="inlineStr">
        <is>
          <t>Suite de regresión por sprint</t>
        </is>
      </c>
      <c r="B52" s="68" t="n"/>
      <c r="C52" s="68" t="n"/>
      <c r="D52" s="68" t="n"/>
      <c r="E52" s="68" t="n"/>
      <c r="F52" s="68" t="n"/>
      <c r="G52" s="68" t="n"/>
      <c r="H52" s="68" t="n"/>
    </row>
    <row r="53" ht="18.5" customHeight="1" s="33">
      <c r="A53" s="98" t="inlineStr">
        <is>
          <t>Sprint</t>
        </is>
      </c>
      <c r="B53" s="98" t="inlineStr">
        <is>
          <t>Cantidad</t>
        </is>
      </c>
      <c r="C53" s="98" t="inlineStr">
        <is>
          <t>Aprobados</t>
        </is>
      </c>
      <c r="D53" s="98" t="inlineStr">
        <is>
          <t>Fallidos</t>
        </is>
      </c>
      <c r="E53" s="98" t="inlineStr">
        <is>
          <t>Pendientes</t>
        </is>
      </c>
      <c r="F53" s="68" t="n"/>
      <c r="G53" s="68" t="n"/>
      <c r="H53" s="68" t="n"/>
    </row>
    <row r="54" ht="18.5" customHeight="1" s="33">
      <c r="A54" s="99" t="inlineStr">
        <is>
          <t>Sprint 1</t>
        </is>
      </c>
      <c r="B54" s="99">
        <f>COUNTIF(Regresión!Q2:Q200,"Sprint 1")</f>
        <v/>
      </c>
      <c r="C54" s="99">
        <f>COUNTIFS(Regresión!Q2:Q200,"Sprint 1",Regresión!M2:M200,"Aprobado")</f>
        <v/>
      </c>
      <c r="D54" s="99">
        <f>COUNTIFS(Regresión!Q2:Q200,"Sprint 1",Regresión!M2:M200,"Fallido")</f>
        <v/>
      </c>
      <c r="E54" s="99">
        <f>COUNTIFS(Regresión!Q2:Q200,"Sprint 1",Regresión!M2:M200,"Pendiente")</f>
        <v/>
      </c>
      <c r="F54" s="68" t="n"/>
      <c r="G54" s="68" t="n"/>
      <c r="H54" s="68" t="n"/>
    </row>
    <row r="55" ht="18.5" customHeight="1" s="33">
      <c r="A55" s="97" t="inlineStr">
        <is>
          <t>La columna Q de la hoja Regresión dice a qué sprint pertenece cada caso de la suite.</t>
        </is>
      </c>
      <c r="B55" s="68" t="n"/>
      <c r="C55" s="68" t="n"/>
      <c r="D55" s="68" t="n"/>
      <c r="E55" s="68" t="n"/>
      <c r="F55" s="68" t="n"/>
      <c r="G55" s="68" t="n"/>
      <c r="H55" s="68" t="n"/>
    </row>
    <row r="56" ht="18.5" customHeight="1" s="33">
      <c r="A56" s="102" t="n"/>
      <c r="B56" s="102" t="n"/>
      <c r="C56" s="102" t="n"/>
      <c r="D56" s="102" t="n"/>
      <c r="E56" s="102" t="n"/>
      <c r="F56" s="102" t="n"/>
      <c r="G56" s="102" t="n"/>
      <c r="H56" s="68" t="n"/>
    </row>
    <row r="57" s="33">
      <c r="A57" s="72" t="inlineStr">
        <is>
          <t>Casos por historia y tipo</t>
        </is>
      </c>
      <c r="B57" s="102" t="n"/>
      <c r="C57" s="102" t="n"/>
      <c r="D57" s="102" t="n"/>
      <c r="E57" s="102" t="n"/>
      <c r="F57" s="102" t="n"/>
      <c r="G57" s="102" t="n"/>
      <c r="H57" s="68" t="n"/>
    </row>
    <row r="58" ht="18.5" customHeight="1" s="33">
      <c r="A58" s="98" t="inlineStr">
        <is>
          <t>Historia</t>
        </is>
      </c>
      <c r="B58" s="98" t="inlineStr">
        <is>
          <t>Funcional</t>
        </is>
      </c>
      <c r="C58" s="98" t="inlineStr">
        <is>
          <t>Seguridad</t>
        </is>
      </c>
      <c r="D58" s="98" t="inlineStr">
        <is>
          <t>Negativa</t>
        </is>
      </c>
      <c r="E58" s="98" t="inlineStr">
        <is>
          <t>E2E</t>
        </is>
      </c>
      <c r="F58" s="98" t="inlineStr">
        <is>
          <t>Límite</t>
        </is>
      </c>
      <c r="G58" s="98" t="inlineStr">
        <is>
          <t>Regresión</t>
        </is>
      </c>
      <c r="H58" s="98" t="inlineStr">
        <is>
          <t>Total</t>
        </is>
      </c>
    </row>
    <row r="59" s="33">
      <c r="A59" s="99" t="inlineStr">
        <is>
          <t>HT-06</t>
        </is>
      </c>
      <c r="B59" s="99">
        <f>COUNTIFS('Casos de Prueba'!$B$2:$B$200,$A59,'Casos de Prueba'!$D$2:$D$200,B$58)</f>
        <v/>
      </c>
      <c r="C59" s="99">
        <f>COUNTIFS('Casos de Prueba'!$B$2:$B$200,$A59,'Casos de Prueba'!$D$2:$D$200,C$58)</f>
        <v/>
      </c>
      <c r="D59" s="99">
        <f>COUNTIFS('Casos de Prueba'!$B$2:$B$200,$A59,'Casos de Prueba'!$D$2:$D$200,D$58)</f>
        <v/>
      </c>
      <c r="E59" s="99">
        <f>COUNTIFS('Casos de Prueba'!$B$2:$B$200,$A59,'Casos de Prueba'!$D$2:$D$200,E$58)</f>
        <v/>
      </c>
      <c r="F59" s="99">
        <f>COUNTIFS('Casos de Prueba'!$B$2:$B$200,$A59,'Casos de Prueba'!$D$2:$D$200,F$58)</f>
        <v/>
      </c>
      <c r="G59" s="99">
        <f>COUNTIFS('Casos de Prueba'!$B$2:$B$200,$A59,'Casos de Prueba'!$D$2:$D$200,G$58)</f>
        <v/>
      </c>
      <c r="H59" s="99">
        <f>SUM(B59:G59)</f>
        <v/>
      </c>
    </row>
    <row r="60" ht="18.5" customHeight="1" s="33">
      <c r="A60" s="99" t="inlineStr">
        <is>
          <t>HU-18</t>
        </is>
      </c>
      <c r="B60" s="99">
        <f>COUNTIFS('Casos de Prueba'!$B$2:$B$200,$A60,'Casos de Prueba'!$D$2:$D$200,B$58)</f>
        <v/>
      </c>
      <c r="C60" s="99">
        <f>COUNTIFS('Casos de Prueba'!$B$2:$B$200,$A60,'Casos de Prueba'!$D$2:$D$200,C$58)</f>
        <v/>
      </c>
      <c r="D60" s="99">
        <f>COUNTIFS('Casos de Prueba'!$B$2:$B$200,$A60,'Casos de Prueba'!$D$2:$D$200,D$58)</f>
        <v/>
      </c>
      <c r="E60" s="99">
        <f>COUNTIFS('Casos de Prueba'!$B$2:$B$200,$A60,'Casos de Prueba'!$D$2:$D$200,E$58)</f>
        <v/>
      </c>
      <c r="F60" s="99">
        <f>COUNTIFS('Casos de Prueba'!$B$2:$B$200,$A60,'Casos de Prueba'!$D$2:$D$200,F$58)</f>
        <v/>
      </c>
      <c r="G60" s="99">
        <f>COUNTIFS('Casos de Prueba'!$B$2:$B$200,$A60,'Casos de Prueba'!$D$2:$D$200,G$58)</f>
        <v/>
      </c>
      <c r="H60" s="99">
        <f>SUM(B60:G60)</f>
        <v/>
      </c>
    </row>
    <row r="61" ht="51.9" customHeight="1" s="33">
      <c r="A61" s="106" t="inlineStr">
        <is>
          <t>Total</t>
        </is>
      </c>
      <c r="B61" s="106">
        <f>SUM(B59:B60)</f>
        <v/>
      </c>
      <c r="C61" s="106">
        <f>SUM(C59:C60)</f>
        <v/>
      </c>
      <c r="D61" s="106">
        <f>SUM(D59:D60)</f>
        <v/>
      </c>
      <c r="E61" s="106">
        <f>SUM(E59:E60)</f>
        <v/>
      </c>
      <c r="F61" s="106">
        <f>SUM(F59:F60)</f>
        <v/>
      </c>
      <c r="G61" s="106">
        <f>SUM(G59:G60)</f>
        <v/>
      </c>
      <c r="H61" s="106">
        <f>SUM(H59:H60)</f>
        <v/>
      </c>
    </row>
    <row r="62" ht="18.5" customHeight="1" s="33">
      <c r="A62" s="107" t="inlineStr">
        <is>
          <t>Cada tipo sale de la columna Tipo de la hoja Casos de Prueba; agrega una fila por HU.</t>
        </is>
      </c>
      <c r="B62" s="102" t="n"/>
      <c r="C62" s="102" t="n"/>
      <c r="D62" s="102" t="n"/>
      <c r="E62" s="102" t="n"/>
      <c r="F62" s="102" t="n"/>
      <c r="G62" s="102" t="n"/>
      <c r="H62" s="102" t="n"/>
    </row>
    <row r="63" ht="18.5" customHeight="1" s="33">
      <c r="A63" s="102" t="n"/>
      <c r="B63" s="102" t="n"/>
      <c r="C63" s="102" t="n"/>
      <c r="D63" s="102" t="n"/>
      <c r="E63" s="102" t="n"/>
      <c r="F63" s="102" t="n"/>
      <c r="G63" s="102" t="n"/>
      <c r="H63" s="102" t="n"/>
    </row>
    <row r="64" s="33">
      <c r="A64" s="102" t="n"/>
      <c r="B64" s="102" t="n"/>
      <c r="C64" s="102" t="n"/>
      <c r="D64" s="102" t="n"/>
      <c r="E64" s="102" t="n"/>
      <c r="F64" s="102" t="n"/>
      <c r="G64" s="102" t="n"/>
      <c r="H64" s="102" t="n"/>
    </row>
    <row r="65" s="33">
      <c r="A65" s="102" t="n"/>
      <c r="B65" s="102" t="n"/>
      <c r="C65" s="102" t="n"/>
      <c r="D65" s="102" t="n"/>
      <c r="E65" s="102" t="n"/>
      <c r="F65" s="102" t="n"/>
      <c r="G65" s="102" t="n"/>
      <c r="H65" s="102" t="n"/>
    </row>
    <row r="66" s="33">
      <c r="A66" s="102" t="n"/>
      <c r="B66" s="102" t="n"/>
      <c r="C66" s="102" t="n"/>
      <c r="D66" s="102" t="n"/>
      <c r="E66" s="102" t="n"/>
      <c r="F66" s="102" t="n"/>
      <c r="G66" s="102" t="n"/>
      <c r="H66" s="102" t="n"/>
    </row>
    <row r="67" s="33">
      <c r="A67" s="102" t="n"/>
      <c r="B67" s="102" t="n"/>
      <c r="C67" s="102" t="n"/>
      <c r="D67" s="102" t="n"/>
      <c r="E67" s="102" t="n"/>
      <c r="F67" s="102" t="n"/>
      <c r="G67" s="102" t="n"/>
      <c r="H67" s="102" t="n"/>
    </row>
    <row r="68" s="33">
      <c r="A68" s="102" t="n"/>
      <c r="B68" s="102" t="n"/>
      <c r="C68" s="102" t="n"/>
      <c r="D68" s="102" t="n"/>
      <c r="E68" s="102" t="n"/>
      <c r="F68" s="102" t="n"/>
      <c r="G68" s="102" t="n"/>
      <c r="H68" s="102" t="n"/>
    </row>
    <row r="69" s="33">
      <c r="A69" s="102" t="n"/>
      <c r="B69" s="102" t="n"/>
      <c r="C69" s="102" t="n"/>
      <c r="D69" s="102" t="n"/>
      <c r="E69" s="102" t="n"/>
      <c r="F69" s="102" t="n"/>
      <c r="G69" s="102" t="n"/>
      <c r="H69" s="102" t="n"/>
    </row>
    <row r="70" s="33">
      <c r="A70" s="102" t="n"/>
      <c r="B70" s="102" t="n"/>
      <c r="C70" s="102" t="n"/>
      <c r="D70" s="102" t="n"/>
      <c r="E70" s="102" t="n"/>
      <c r="F70" s="102" t="n"/>
      <c r="G70" s="102" t="n"/>
      <c r="H70" s="102" t="n"/>
    </row>
    <row r="71" s="33">
      <c r="A71" s="102" t="n"/>
      <c r="B71" s="102" t="n"/>
      <c r="C71" s="102" t="n"/>
      <c r="D71" s="102" t="n"/>
      <c r="E71" s="102" t="n"/>
      <c r="F71" s="102" t="n"/>
      <c r="G71" s="102" t="n"/>
      <c r="H71" s="102" t="n"/>
    </row>
    <row r="72" s="33">
      <c r="A72" s="102" t="n"/>
      <c r="B72" s="102" t="n"/>
      <c r="C72" s="102" t="n"/>
      <c r="D72" s="102" t="n"/>
      <c r="E72" s="102" t="n"/>
      <c r="F72" s="102" t="n"/>
      <c r="G72" s="102" t="n"/>
      <c r="H72" s="102" t="n"/>
    </row>
    <row r="73" s="33">
      <c r="A73" s="102" t="n"/>
      <c r="B73" s="102" t="n"/>
      <c r="C73" s="102" t="n"/>
      <c r="D73" s="102" t="n"/>
      <c r="E73" s="102" t="n"/>
      <c r="F73" s="102" t="n"/>
      <c r="G73" s="102" t="n"/>
      <c r="H73" s="102" t="n"/>
    </row>
    <row r="74" s="33">
      <c r="A74" s="102" t="n"/>
      <c r="B74" s="102" t="n"/>
      <c r="C74" s="102" t="n"/>
      <c r="D74" s="102" t="n"/>
      <c r="E74" s="102" t="n"/>
      <c r="F74" s="102" t="n"/>
      <c r="G74" s="102" t="n"/>
      <c r="H74" s="102" t="n"/>
    </row>
    <row r="75" s="33">
      <c r="A75" s="102" t="n"/>
      <c r="B75" s="102" t="n"/>
      <c r="C75" s="102" t="n"/>
      <c r="D75" s="102" t="n"/>
      <c r="E75" s="102" t="n"/>
      <c r="F75" s="102" t="n"/>
      <c r="G75" s="102" t="n"/>
      <c r="H75" s="102" t="n"/>
    </row>
    <row r="76" s="33">
      <c r="A76" s="102" t="n"/>
      <c r="B76" s="102" t="n"/>
      <c r="C76" s="102" t="n"/>
      <c r="D76" s="102" t="n"/>
      <c r="E76" s="102" t="n"/>
      <c r="F76" s="102" t="n"/>
      <c r="G76" s="102" t="n"/>
      <c r="H76" s="102" t="n"/>
    </row>
    <row r="77" s="33">
      <c r="A77" s="102" t="n"/>
      <c r="B77" s="102" t="n"/>
      <c r="C77" s="102" t="n"/>
      <c r="D77" s="102" t="n"/>
      <c r="E77" s="102" t="n"/>
      <c r="F77" s="102" t="n"/>
      <c r="G77" s="102" t="n"/>
      <c r="H77" s="102" t="n"/>
    </row>
    <row r="78" s="33">
      <c r="A78" s="102" t="n"/>
      <c r="B78" s="102" t="n"/>
      <c r="C78" s="102" t="n"/>
      <c r="D78" s="102" t="n"/>
      <c r="E78" s="102" t="n"/>
      <c r="F78" s="102" t="n"/>
      <c r="G78" s="102" t="n"/>
      <c r="H78" s="102" t="n"/>
    </row>
    <row r="79" s="33">
      <c r="A79" s="102" t="n"/>
      <c r="B79" s="102" t="n"/>
      <c r="C79" s="102" t="n"/>
      <c r="D79" s="102" t="n"/>
      <c r="E79" s="102" t="n"/>
      <c r="F79" s="102" t="n"/>
      <c r="G79" s="102" t="n"/>
      <c r="H79" s="102" t="n"/>
    </row>
    <row r="80" s="33">
      <c r="A80" s="102" t="n"/>
      <c r="B80" s="102" t="n"/>
      <c r="C80" s="102" t="n"/>
      <c r="D80" s="102" t="n"/>
      <c r="E80" s="102" t="n"/>
      <c r="F80" s="102" t="n"/>
      <c r="G80" s="102" t="n"/>
      <c r="H80" s="102" t="n"/>
    </row>
    <row r="81" s="33">
      <c r="A81" s="102" t="n"/>
      <c r="B81" s="102" t="n"/>
      <c r="C81" s="102" t="n"/>
      <c r="D81" s="102" t="n"/>
      <c r="E81" s="102" t="n"/>
      <c r="F81" s="102" t="n"/>
      <c r="G81" s="102" t="n"/>
      <c r="H81" s="102" t="n"/>
    </row>
    <row r="82" s="33">
      <c r="A82" s="102" t="n"/>
      <c r="B82" s="102" t="n"/>
      <c r="C82" s="102" t="n"/>
      <c r="D82" s="102" t="n"/>
      <c r="E82" s="102" t="n"/>
      <c r="F82" s="102" t="n"/>
      <c r="G82" s="102" t="n"/>
      <c r="H82" s="102" t="n"/>
    </row>
    <row r="83" s="33">
      <c r="A83" s="102" t="n"/>
      <c r="B83" s="102" t="n"/>
      <c r="C83" s="102" t="n"/>
      <c r="D83" s="102" t="n"/>
      <c r="E83" s="102" t="n"/>
      <c r="F83" s="102" t="n"/>
      <c r="G83" s="102" t="n"/>
      <c r="H83" s="102" t="n"/>
    </row>
    <row r="84" s="33">
      <c r="A84" s="102" t="n"/>
      <c r="B84" s="102" t="n"/>
      <c r="C84" s="102" t="n"/>
      <c r="D84" s="102" t="n"/>
      <c r="E84" s="102" t="n"/>
      <c r="F84" s="102" t="n"/>
      <c r="G84" s="102" t="n"/>
      <c r="H84" s="102" t="n"/>
    </row>
    <row r="85" s="33">
      <c r="A85" s="102" t="n"/>
      <c r="B85" s="102" t="n"/>
      <c r="C85" s="102" t="n"/>
      <c r="D85" s="102" t="n"/>
      <c r="E85" s="102" t="n"/>
      <c r="F85" s="102" t="n"/>
      <c r="G85" s="102" t="n"/>
      <c r="H85" s="102" t="n"/>
    </row>
    <row r="86" s="33">
      <c r="A86" s="102" t="n"/>
      <c r="B86" s="102" t="n"/>
      <c r="C86" s="102" t="n"/>
      <c r="D86" s="102" t="n"/>
      <c r="E86" s="102" t="n"/>
      <c r="F86" s="102" t="n"/>
      <c r="G86" s="102" t="n"/>
      <c r="H86" s="102" t="n"/>
    </row>
    <row r="87" s="33">
      <c r="A87" s="102" t="n"/>
      <c r="B87" s="102" t="n"/>
      <c r="C87" s="102" t="n"/>
      <c r="D87" s="102" t="n"/>
      <c r="E87" s="102" t="n"/>
      <c r="F87" s="102" t="n"/>
      <c r="G87" s="102" t="n"/>
      <c r="H87" s="102" t="n"/>
    </row>
    <row r="88" s="33">
      <c r="A88" s="102" t="n"/>
      <c r="B88" s="102" t="n"/>
      <c r="C88" s="102" t="n"/>
      <c r="D88" s="102" t="n"/>
      <c r="E88" s="102" t="n"/>
      <c r="F88" s="102" t="n"/>
      <c r="G88" s="102" t="n"/>
      <c r="H88" s="102" t="n"/>
    </row>
    <row r="89" s="33">
      <c r="A89" s="102" t="n"/>
      <c r="B89" s="102" t="n"/>
      <c r="C89" s="102" t="n"/>
      <c r="D89" s="102" t="n"/>
      <c r="E89" s="102" t="n"/>
      <c r="F89" s="102" t="n"/>
      <c r="G89" s="102" t="n"/>
      <c r="H89" s="102" t="n"/>
    </row>
    <row r="90" s="33">
      <c r="A90" s="102" t="n"/>
      <c r="B90" s="102" t="n"/>
      <c r="C90" s="102" t="n"/>
      <c r="D90" s="102" t="n"/>
      <c r="E90" s="102" t="n"/>
      <c r="F90" s="102" t="n"/>
      <c r="G90" s="102" t="n"/>
      <c r="H90" s="102" t="n"/>
    </row>
    <row r="91" s="33">
      <c r="A91" s="102" t="n"/>
      <c r="B91" s="102" t="n"/>
      <c r="C91" s="102" t="n"/>
      <c r="D91" s="102" t="n"/>
      <c r="E91" s="102" t="n"/>
      <c r="F91" s="102" t="n"/>
      <c r="G91" s="102" t="n"/>
      <c r="H91" s="102" t="n"/>
    </row>
    <row r="92" s="33">
      <c r="A92" s="102" t="n"/>
      <c r="B92" s="102" t="n"/>
      <c r="C92" s="102" t="n"/>
      <c r="D92" s="102" t="n"/>
      <c r="E92" s="102" t="n"/>
      <c r="F92" s="102" t="n"/>
      <c r="G92" s="102" t="n"/>
      <c r="H92" s="102" t="n"/>
    </row>
    <row r="93" s="33">
      <c r="A93" s="102" t="n"/>
      <c r="B93" s="102" t="n"/>
      <c r="C93" s="102" t="n"/>
      <c r="D93" s="102" t="n"/>
      <c r="E93" s="102" t="n"/>
      <c r="F93" s="102" t="n"/>
      <c r="G93" s="102" t="n"/>
      <c r="H93" s="102" t="n"/>
    </row>
    <row r="94" s="33">
      <c r="A94" s="102" t="n"/>
      <c r="B94" s="102" t="n"/>
      <c r="C94" s="102" t="n"/>
      <c r="D94" s="102" t="n"/>
      <c r="E94" s="102" t="n"/>
      <c r="F94" s="102" t="n"/>
      <c r="G94" s="102" t="n"/>
      <c r="H94" s="102" t="n"/>
    </row>
    <row r="95" s="33">
      <c r="A95" s="102" t="n"/>
      <c r="B95" s="102" t="n"/>
      <c r="C95" s="102" t="n"/>
      <c r="D95" s="102" t="n"/>
      <c r="E95" s="102" t="n"/>
      <c r="F95" s="102" t="n"/>
      <c r="G95" s="102" t="n"/>
      <c r="H95" s="102" t="n"/>
    </row>
    <row r="96" s="33">
      <c r="A96" s="102" t="n"/>
      <c r="B96" s="102" t="n"/>
      <c r="C96" s="102" t="n"/>
      <c r="D96" s="102" t="n"/>
      <c r="E96" s="102" t="n"/>
      <c r="F96" s="102" t="n"/>
      <c r="G96" s="102" t="n"/>
      <c r="H96" s="102" t="n"/>
    </row>
    <row r="97" s="33">
      <c r="A97" s="102" t="n"/>
      <c r="B97" s="102" t="n"/>
      <c r="C97" s="102" t="n"/>
      <c r="D97" s="102" t="n"/>
      <c r="E97" s="102" t="n"/>
      <c r="F97" s="102" t="n"/>
      <c r="G97" s="102" t="n"/>
      <c r="H97" s="102" t="n"/>
    </row>
    <row r="98" s="33">
      <c r="A98" s="102" t="n"/>
      <c r="B98" s="102" t="n"/>
      <c r="C98" s="102" t="n"/>
      <c r="D98" s="102" t="n"/>
      <c r="E98" s="102" t="n"/>
      <c r="F98" s="102" t="n"/>
      <c r="G98" s="102" t="n"/>
      <c r="H98" s="102" t="n"/>
    </row>
    <row r="99" s="33">
      <c r="A99" s="102" t="n"/>
      <c r="B99" s="102" t="n"/>
      <c r="C99" s="102" t="n"/>
      <c r="D99" s="102" t="n"/>
      <c r="E99" s="102" t="n"/>
      <c r="F99" s="102" t="n"/>
      <c r="G99" s="102" t="n"/>
      <c r="H99" s="102" t="n"/>
    </row>
    <row r="100">
      <c r="A100" s="102" t="n"/>
      <c r="B100" s="102" t="n"/>
      <c r="C100" s="102" t="n"/>
      <c r="D100" s="102" t="n"/>
      <c r="E100" s="102" t="n"/>
      <c r="F100" s="102" t="n"/>
      <c r="G100" s="102" t="n"/>
      <c r="H100" s="102" t="n"/>
    </row>
  </sheetData>
  <mergeCells count="1">
    <mergeCell ref="A42:G42"/>
  </mergeCells>
  <conditionalFormatting sqref="G35:G36">
    <cfRule type="cellIs" priority="1" operator="equal" dxfId="11">
      <formula>"No pasa"</formula>
    </cfRule>
    <cfRule type="cellIs" priority="2" operator="equal" dxfId="12">
      <formula>"Pasa"</formula>
    </cfRule>
    <cfRule type="cellIs" priority="3" operator="equal" dxfId="13">
      <formula>"Pendiente"</formula>
    </cfRule>
    <cfRule type="cellIs" priority="4" operator="equal" dxfId="14">
      <formula>"Sin casos"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2026-10-23T19:07:16Z</dcterms:created>
  <dcterms:modified xmlns:dcterms="http://purl.org/dc/terms/" xmlns:xsi="http://www.w3.org/2001/XMLSchema-instance" xsi:type="dcterms:W3CDTF">2026-10-30T14:45:08Z</dcterms:modified>
  <cp:lastModifiedBy>Desarrollo Ceneris</cp:lastModifiedBy>
  <cp:revision>0</cp:revision>
</cp:coreProperties>
</file>