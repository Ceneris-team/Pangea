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Observaciones" sheetId="3" state="visible" r:id="rId3"/>
    <sheet xmlns:r="http://schemas.openxmlformats.org/officeDocument/2006/relationships" name="Pendientes de entrega" sheetId="4" state="visible" r:id="rId4"/>
    <sheet xmlns:r="http://schemas.openxmlformats.org/officeDocument/2006/relationships" name="Historial de ronda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Arial"/>
      <family val="2"/>
      <sz val="10"/>
    </font>
    <font>
      <name val="Segoe UI"/>
      <charset val="1"/>
      <family val="0"/>
      <b val="1"/>
      <color rgb="008C4F3C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8C4F3C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8C4F3C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B03A2E"/>
      <sz val="10"/>
    </font>
  </fonts>
  <fills count="15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FC7CE"/>
        <bgColor rgb="FFDCE4F2"/>
      </patternFill>
    </fill>
    <fill>
      <patternFill patternType="solid">
        <fgColor rgb="FFFFEB9C"/>
        <bgColor rgb="FFF2F2F2"/>
      </patternFill>
    </fill>
    <fill>
      <patternFill patternType="solid">
        <fgColor rgb="FFDDEBF7"/>
        <bgColor rgb="FFDCE4F2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00F4E9E4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F3F4F5"/>
      </patternFill>
    </fill>
    <fill>
      <patternFill patternType="solid">
        <fgColor rgb="008C4F3C"/>
      </patternFill>
    </fill>
    <fill>
      <patternFill patternType="solid">
        <fgColor rgb="00E2F0E5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/>
      <bottom/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7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applyAlignment="1" pivotButton="0" quotePrefix="0" xfId="0">
      <alignment horizontal="general" vertical="bottom"/>
    </xf>
    <xf numFmtId="0" fontId="18" fillId="9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10" borderId="4" applyAlignment="1" pivotButton="0" quotePrefix="0" xfId="0">
      <alignment horizontal="general" vertical="bottom"/>
    </xf>
    <xf numFmtId="0" fontId="18" fillId="11" borderId="4" applyAlignment="1" pivotButton="0" quotePrefix="0" xfId="0">
      <alignment horizontal="general" vertical="bottom"/>
    </xf>
    <xf numFmtId="0" fontId="18" fillId="12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top" wrapText="1"/>
    </xf>
    <xf numFmtId="0" fontId="16" fillId="0" borderId="5" pivotButton="0" quotePrefix="0" xfId="0"/>
    <xf numFmtId="0" fontId="22" fillId="13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horizontal="general" vertical="top" wrapText="1"/>
    </xf>
    <xf numFmtId="0" fontId="16" fillId="11" borderId="4" applyAlignment="1" pivotButton="0" quotePrefix="0" xfId="0">
      <alignment horizontal="general" vertical="top" wrapText="1"/>
    </xf>
    <xf numFmtId="0" fontId="16" fillId="14" borderId="4" applyAlignment="1" pivotButton="0" quotePrefix="0" xfId="0">
      <alignment horizontal="general" vertical="top" wrapText="1"/>
    </xf>
    <xf numFmtId="0" fontId="16" fillId="10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3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164" fontId="19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bottom"/>
    </xf>
    <xf numFmtId="164" fontId="23" fillId="0" borderId="4" applyAlignment="1" pivotButton="0" quotePrefix="0" xfId="0">
      <alignment horizontal="general" vertical="bottom"/>
    </xf>
    <xf numFmtId="0" fontId="27" fillId="0" borderId="6" applyAlignment="1" pivotButton="0" quotePrefix="0" xfId="0">
      <alignment horizontal="general" vertical="bottom"/>
    </xf>
    <xf numFmtId="0" fontId="16" fillId="0" borderId="6" pivotButton="0" quotePrefix="0" xfId="0"/>
    <xf numFmtId="164" fontId="26" fillId="0" borderId="4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9" borderId="4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18" fillId="0" borderId="4" applyAlignment="1" pivotButton="0" quotePrefix="0" xfId="0">
      <alignment horizontal="general" vertical="top"/>
    </xf>
    <xf numFmtId="0" fontId="18" fillId="10" borderId="4" applyAlignment="1" pivotButton="0" quotePrefix="0" xfId="0">
      <alignment horizontal="general" vertical="top"/>
    </xf>
    <xf numFmtId="0" fontId="18" fillId="11" borderId="4" applyAlignment="1" pivotButton="0" quotePrefix="0" xfId="0">
      <alignment horizontal="general" vertical="top"/>
    </xf>
    <xf numFmtId="0" fontId="18" fillId="12" borderId="4" applyAlignment="1" pivotButton="0" quotePrefix="0" xfId="0">
      <alignment horizontal="general" vertical="top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2" fillId="13" borderId="4" applyAlignment="1" pivotButton="0" quotePrefix="0" xfId="0">
      <alignment horizontal="general" vertical="top"/>
    </xf>
    <xf numFmtId="0" fontId="19" fillId="0" borderId="4" applyAlignment="1" pivotButton="0" quotePrefix="0" xfId="0">
      <alignment horizontal="general" vertical="top"/>
    </xf>
    <xf numFmtId="164" fontId="19" fillId="0" borderId="4" applyAlignment="1" pivotButton="0" quotePrefix="0" xfId="0">
      <alignment horizontal="general" vertical="top"/>
    </xf>
    <xf numFmtId="164" fontId="23" fillId="0" borderId="4" applyAlignment="1" pivotButton="0" quotePrefix="0" xfId="0">
      <alignment horizontal="general" vertical="top"/>
    </xf>
    <xf numFmtId="0" fontId="27" fillId="0" borderId="6" applyAlignment="1" pivotButton="0" quotePrefix="0" xfId="0">
      <alignment horizontal="general" vertical="top"/>
    </xf>
    <xf numFmtId="0" fontId="0" fillId="0" borderId="8" pivotButton="0" quotePrefix="0" xfId="0"/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C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5" authorId="0" shapeId="0">
      <text>
        <t>Escribe en la columna A el ID de la historia seguido de la HU (ej.: «SIG-31 HU-02»). La primera palabra es la clave con la que se cuentan los defectos (columna Historia de la hoja Defectos).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B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95" customWidth="1" style="27" min="2" max="2"/>
  </cols>
  <sheetData>
    <row r="1" ht="23.25" customFormat="1" customHeight="1" s="28">
      <c r="A1" s="86" t="inlineStr">
        <is>
          <t>Registro de Defectos</t>
        </is>
      </c>
      <c r="B1" s="57" t="n"/>
    </row>
    <row r="2" ht="18.5" customFormat="1" customHeight="1" s="28">
      <c r="A2" s="87" t="inlineStr">
        <is>
          <t>Pangea (tablero PP)</t>
        </is>
      </c>
      <c r="B2" s="57" t="n"/>
    </row>
    <row r="3" s="31">
      <c r="A3" s="57" t="n"/>
      <c r="B3" s="57" t="n"/>
    </row>
    <row r="4" ht="18.5" customHeight="1" s="31">
      <c r="A4" s="88" t="inlineStr">
        <is>
          <t>Entregable</t>
        </is>
      </c>
      <c r="B4" s="60" t="inlineStr">
        <is>
          <t>Matriz de Responsabilidades de Documentación - rol Aseguramiento de Calidad (QA)</t>
        </is>
      </c>
    </row>
    <row r="5" ht="33" customHeight="1" s="31">
      <c r="A5" s="88" t="inlineStr">
        <is>
          <t>Documentos que cubre</t>
        </is>
      </c>
      <c r="B5" s="60" t="inlineStr">
        <is>
          <t>Defectos, observaciones y entregas pendientes de HT-06 y HU-18, con el historial de rondas.</t>
        </is>
      </c>
    </row>
    <row r="6" ht="18.5" customHeight="1" s="31">
      <c r="A6" s="88" t="inlineStr">
        <is>
          <t>Responsable</t>
        </is>
      </c>
      <c r="B6" s="60" t="inlineStr">
        <is>
          <t>Elliot (JS en Jira), QA / Tester</t>
        </is>
      </c>
    </row>
    <row r="7" ht="18.5" customHeight="1" s="31">
      <c r="A7" s="88" t="inlineStr">
        <is>
          <t>Versión</t>
        </is>
      </c>
      <c r="B7" s="60" t="inlineStr">
        <is>
          <t>0.3</t>
        </is>
      </c>
    </row>
    <row r="8" ht="33" customHeight="1" s="31">
      <c r="A8" s="88" t="inlineStr">
        <is>
          <t>Fecha de elaboración</t>
        </is>
      </c>
      <c r="B8" s="60" t="inlineStr">
        <is>
          <t>30/10/2026 · Ronda 1 de HT-06 y ronda 2 de HU-18</t>
        </is>
      </c>
    </row>
    <row r="9" ht="18.5" customHeight="1" s="31">
      <c r="A9" s="88" t="inlineStr">
        <is>
          <t>Estado</t>
        </is>
      </c>
      <c r="B9" s="60" t="inlineStr">
        <is>
          <t>Borrador (X)     En revisión ( )     Aprobado ( )</t>
        </is>
      </c>
    </row>
    <row r="10" ht="18.5" customHeight="1" s="31">
      <c r="A10" s="88" t="inlineStr">
        <is>
          <t>Aprobado por</t>
        </is>
      </c>
      <c r="B10" s="60" t="inlineStr">
        <is>
          <t>Scrum Master  /  Product Owner de Pangea</t>
        </is>
      </c>
    </row>
    <row r="11" s="31">
      <c r="A11" s="57" t="n"/>
      <c r="B11" s="57" t="n"/>
    </row>
    <row r="12" ht="18.5" customHeight="1" s="31">
      <c r="A12" s="89" t="inlineStr">
        <is>
          <t>Cómo se usa este libro</t>
        </is>
      </c>
      <c r="B12" s="57" t="n"/>
    </row>
    <row r="13" s="31">
      <c r="A13" s="57" t="n"/>
      <c r="B13" s="57" t="n"/>
    </row>
    <row r="14" ht="47.5" customFormat="1" customHeight="1" s="28">
      <c r="A14" s="90" t="inlineStr">
        <is>
          <t>Defectos</t>
        </is>
      </c>
      <c r="B14" s="60" t="inlineStr">
        <is>
          <t>Empieza vacía. Se agrega una fila solo cuando un caso falla, numerando en orden DEF-01, DEF-02… El ID se copia en la columna Defecto del caso Fallido. Fuera de esta carpeta se cita con prefijo (PP:DEF-01).</t>
        </is>
      </c>
    </row>
    <row r="15" ht="33" customFormat="1" customHeight="1" s="28">
      <c r="A15" s="90" t="inlineStr">
        <is>
          <t>Observaciones</t>
        </is>
      </c>
      <c r="B15" s="60" t="inlineStr">
        <is>
          <t>Hallazgos que no hacen fallar el caso. Cada una lleva tipo, severidad y responsable (PO, Dev o QA), para ver de un vistazo quién debe actuar. Se numeran OBS-01, OBS-02…</t>
        </is>
      </c>
    </row>
    <row r="16" ht="33" customFormat="1" customHeight="1" s="28">
      <c r="A16" s="90" t="inlineStr">
        <is>
          <t>Pendientes de entrega</t>
        </is>
      </c>
      <c r="B16" s="60" t="inlineStr">
        <is>
          <t>Subtareas del tablero que no se entregaron. No son defectos, pero bloquean el cierre de la HU. Se numeran PEN-01, PEN-02…</t>
        </is>
      </c>
    </row>
    <row r="17" ht="33" customFormat="1" customHeight="1" s="28">
      <c r="A17" s="90" t="inlineStr">
        <is>
          <t>Historial de rondas</t>
        </is>
      </c>
      <c r="B17" s="60" t="inlineStr">
        <is>
          <t>Una fila por HU en cada ronda de ejecución: fecha, commit probado, resultados y defectos. Es una foto de cada ronda: no se recalcula.</t>
        </is>
      </c>
    </row>
    <row r="18" ht="62" customFormat="1" customHeight="1" s="28">
      <c r="A18" s="90" t="inlineStr">
        <is>
          <t>Ciclo de vida</t>
        </is>
      </c>
      <c r="B18" s="60" t="inlineStr">
        <is>
          <t>Nuevo → Asignado → En corrección → Corregido → Cerrado. «Pendiente» = registrado y todavía sin asignar. «Corregido» lo marca QA cuando la corrección llega a dev (se anota el commit); «Cerrado» solo después de la reprueba de QA (columna Reprueba, hoja Regresión de Casos_de_Prueba.xlsx). Si la reprueba falla: Reabierto.</t>
        </is>
      </c>
    </row>
    <row r="19" ht="62" customFormat="1" customHeight="1" s="28">
      <c r="A19" s="90" t="inlineStr">
        <is>
          <t>Mantenimiento</t>
        </is>
      </c>
      <c r="B19" s="60" t="inlineStr">
        <is>
          <t>Cada vez que llegan cambios a dev: revisar los commits, pasar a «Corregido» lo que corrigen (con el commit en Comentarios) y anotar «sin cambios» en el resto. Después de la reprueba: «Cerrado» o «Reabierto». Al cierre de cada sprint se revisa que ningún defecto quede sin estado ni sin responsable.</t>
        </is>
      </c>
    </row>
    <row r="20" s="31">
      <c r="A20" s="90" t="inlineStr">
        <is>
          <t>Resumen</t>
        </is>
      </c>
      <c r="B20" s="60" t="inlineStr">
        <is>
          <t>Se calcula solo. No escribir en ella.</t>
        </is>
      </c>
    </row>
    <row r="21" ht="18.5" customFormat="1" customHeight="1" s="28">
      <c r="A21" s="57" t="n"/>
      <c r="B21" s="57" t="n"/>
    </row>
    <row r="22" s="31">
      <c r="A22" s="89" t="inlineStr">
        <is>
          <t>Severidad (impacto en el sistema)</t>
        </is>
      </c>
      <c r="B22" s="57" t="n"/>
    </row>
    <row r="23" ht="25.5" customFormat="1" customHeight="1" s="28">
      <c r="A23" s="57" t="n"/>
      <c r="B23" s="57" t="n"/>
    </row>
    <row r="24" ht="33" customFormat="1" customHeight="1" s="28">
      <c r="A24" s="91" t="inlineStr">
        <is>
          <t>Crítica</t>
        </is>
      </c>
      <c r="B24" s="60" t="inlineStr">
        <is>
          <t>Bloquea una función crítica o de seguridad del sistema, o produce un resultado incorrecto con consecuencias graves; no hay alternativa.</t>
        </is>
      </c>
    </row>
    <row r="25" ht="18.5" customFormat="1" customHeight="1" s="28">
      <c r="A25" s="92" t="inlineStr">
        <is>
          <t>Alta</t>
        </is>
      </c>
      <c r="B25" s="60" t="inlineStr">
        <is>
          <t>La funcionalidad principal de la HU no cumple y no hay alternativa.</t>
        </is>
      </c>
    </row>
    <row r="26" ht="18.5" customFormat="1" customHeight="1" s="28">
      <c r="A26" s="88" t="inlineStr">
        <is>
          <t>Media</t>
        </is>
      </c>
      <c r="B26" s="60" t="inlineStr">
        <is>
          <t>Falla parcial con alternativa, o mensaje/validación incorrecta.</t>
        </is>
      </c>
    </row>
    <row r="27" s="31">
      <c r="A27" s="93" t="inlineStr">
        <is>
          <t>Baja</t>
        </is>
      </c>
      <c r="B27" s="60" t="inlineStr">
        <is>
          <t>Cosmético: textos, alineación, ortografía.</t>
        </is>
      </c>
    </row>
    <row r="28" ht="18.5" customFormat="1" customHeight="1" s="28">
      <c r="A28" s="57" t="n"/>
      <c r="B28" s="57" t="n"/>
    </row>
    <row r="29" s="31">
      <c r="A29" s="89" t="inlineStr">
        <is>
          <t>Prioridad (urgencia de corrección)</t>
        </is>
      </c>
      <c r="B29" s="57" t="n"/>
    </row>
    <row r="30" ht="18.5" customFormat="1" customHeight="1" s="28">
      <c r="A30" s="57" t="n"/>
      <c r="B30" s="57" t="n"/>
    </row>
    <row r="31" ht="18.5" customFormat="1" customHeight="1" s="28">
      <c r="A31" s="90" t="inlineStr">
        <is>
          <t>Alta</t>
        </is>
      </c>
      <c r="B31" s="60" t="inlineStr">
        <is>
          <t>Se corrige en el sprint actual.</t>
        </is>
      </c>
    </row>
    <row r="32" ht="18.5" customFormat="1" customHeight="1" s="28">
      <c r="A32" s="90" t="inlineStr">
        <is>
          <t>Media</t>
        </is>
      </c>
      <c r="B32" s="60" t="inlineStr">
        <is>
          <t>Próximo sprint.</t>
        </is>
      </c>
    </row>
    <row r="33" s="31">
      <c r="A33" s="90" t="inlineStr">
        <is>
          <t>Baja</t>
        </is>
      </c>
      <c r="B33" s="60" t="inlineStr">
        <is>
          <t>Cuando haya capacidad.</t>
        </is>
      </c>
    </row>
    <row r="34" ht="22.35" customFormat="1" customHeight="1" s="28">
      <c r="A34" s="57" t="n"/>
      <c r="B34" s="57" t="n"/>
    </row>
    <row r="35" ht="62" customHeight="1" s="31">
      <c r="A35" s="66" t="n"/>
      <c r="B35" s="101" t="n"/>
    </row>
  </sheetData>
  <mergeCells count="1">
    <mergeCell ref="A35:B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S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36" customWidth="1" style="27" min="2" max="2"/>
    <col width="9" customWidth="1" style="27" min="3" max="3"/>
    <col width="10" customWidth="1" style="27" min="4" max="4"/>
    <col width="9" customWidth="1" style="27" min="5" max="5"/>
    <col width="10" customWidth="1" style="27" min="6" max="7"/>
    <col width="13" customWidth="1" style="31" min="7" max="7"/>
    <col width="14" customWidth="1" style="27" min="8" max="8"/>
    <col width="44" customWidth="1" style="27" min="9" max="9"/>
    <col width="36" customWidth="1" style="27" min="10" max="11"/>
    <col width="13" customWidth="1" style="31" min="11" max="11"/>
    <col width="13" customWidth="1" style="27" min="12" max="12"/>
    <col width="16" customWidth="1" style="27" min="13" max="13"/>
    <col width="12" customWidth="1" style="27" min="14" max="14"/>
    <col width="16" customWidth="1" style="27" min="15" max="15"/>
    <col width="13" customWidth="1" style="27" min="16" max="16"/>
    <col width="12" customWidth="1" style="27" min="17" max="17"/>
    <col width="40" customWidth="1" style="27" min="18" max="18"/>
    <col width="16" customWidth="1" style="27" min="19" max="19"/>
  </cols>
  <sheetData>
    <row r="1" ht="33" customFormat="1" customHeight="1" s="28">
      <c r="A1" s="68" t="inlineStr">
        <is>
          <t>ID</t>
        </is>
      </c>
      <c r="B1" s="68" t="inlineStr">
        <is>
          <t>Título</t>
        </is>
      </c>
      <c r="C1" s="68" t="inlineStr">
        <is>
          <t>Historia</t>
        </is>
      </c>
      <c r="D1" s="68" t="inlineStr">
        <is>
          <t>Requisito</t>
        </is>
      </c>
      <c r="E1" s="68" t="inlineStr">
        <is>
          <t>Caso</t>
        </is>
      </c>
      <c r="F1" s="68" t="inlineStr">
        <is>
          <t>Severidad</t>
        </is>
      </c>
      <c r="G1" s="68" t="inlineStr">
        <is>
          <t>Prioridad</t>
        </is>
      </c>
      <c r="H1" s="68" t="inlineStr">
        <is>
          <t>Ambiente</t>
        </is>
      </c>
      <c r="I1" s="68" t="inlineStr">
        <is>
          <t>Pasos para reproducir</t>
        </is>
      </c>
      <c r="J1" s="68" t="inlineStr">
        <is>
          <t>Resultado esperado</t>
        </is>
      </c>
      <c r="K1" s="68" t="inlineStr">
        <is>
          <t>Resultado obtenido</t>
        </is>
      </c>
      <c r="L1" s="68" t="inlineStr">
        <is>
          <t>Evidencia</t>
        </is>
      </c>
      <c r="M1" s="68" t="inlineStr">
        <is>
          <t>Reportado por</t>
        </is>
      </c>
      <c r="N1" s="68" t="inlineStr">
        <is>
          <t>Fecha reporte</t>
        </is>
      </c>
      <c r="O1" s="68" t="inlineStr">
        <is>
          <t>Asignado a</t>
        </is>
      </c>
      <c r="P1" s="68" t="inlineStr">
        <is>
          <t>Estado</t>
        </is>
      </c>
      <c r="Q1" s="68" t="inlineStr">
        <is>
          <t>Fecha cierre</t>
        </is>
      </c>
      <c r="R1" s="68" t="inlineStr">
        <is>
          <t>Comentarios / resolución</t>
        </is>
      </c>
      <c r="S1" s="68" t="inlineStr">
        <is>
          <t>Reprueba (hoja Regresión)</t>
        </is>
      </c>
    </row>
    <row r="2" ht="18.5" customFormat="1" customHeight="1" s="43">
      <c r="A2" s="69" t="inlineStr">
        <is>
          <t>DEF-01</t>
        </is>
      </c>
      <c r="B2" s="69" t="inlineStr">
        <is>
          <t>Base de datos de produccion con acceso publico desde internet</t>
        </is>
      </c>
      <c r="C2" s="69" t="inlineStr">
        <is>
          <t>HT-06</t>
        </is>
      </c>
      <c r="D2" s="69" t="inlineStr">
        <is>
          <t>RQ-HT06-02</t>
        </is>
      </c>
      <c r="E2" s="69" t="inlineStr">
        <is>
          <t>CP-006, CP-007, CP-008</t>
        </is>
      </c>
      <c r="F2" s="70" t="inlineStr">
        <is>
          <t>Crítica</t>
        </is>
      </c>
      <c r="G2" s="69" t="inlineStr">
        <is>
          <t>Alta</t>
        </is>
      </c>
      <c r="H2" s="69" t="inlineStr">
        <is>
          <t>Producción</t>
        </is>
      </c>
      <c r="I2" s="69" t="inlineStr">
        <is>
          <t>1. Abrir AWS CloudShell. 2. aws lightsail get-relational-databases y leer publiclyAccessible de pangea-db. 3. Intentar conexion TCP al puerto 5432 desde CloudShell.</t>
        </is>
      </c>
      <c r="J2" s="69" t="inlineStr">
        <is>
          <t>publiclyAccessible = False y conexion rechazada desde fuera de Lightsail</t>
        </is>
      </c>
      <c r="K2" s="69" t="inlineStr">
        <is>
          <t>publiclyAccessible = True; la conexion TCP al puerto 5432 queda abierta desde internet</t>
        </is>
      </c>
      <c r="L2" s="69" t="inlineStr">
        <is>
          <t>lightsail_verificacion_resumen.txt</t>
        </is>
      </c>
      <c r="M2" s="69" t="inlineStr">
        <is>
          <t>QA</t>
        </is>
      </c>
      <c r="N2" s="69" t="inlineStr">
        <is>
          <t>28/10/2026</t>
        </is>
      </c>
      <c r="O2" s="69" t="inlineStr">
        <is>
          <t>Jareth (autor del despliegue)</t>
        </is>
      </c>
      <c r="P2" s="71" t="inlineStr">
        <is>
          <t>Nuevo</t>
        </is>
      </c>
      <c r="Q2" s="69" t="n"/>
      <c r="R2" s="69" t="inlineStr">
        <is>
          <t>Antes de poner la BD en modo privado confirmar que el Container Service esta conectado por VPC peering; si no, la API perderia la conexion. Falta ademas documentar el modo privado.</t>
        </is>
      </c>
      <c r="S2" s="69" t="inlineStr">
        <is>
          <t>—</t>
        </is>
      </c>
    </row>
    <row r="3" ht="18.5" customFormat="1" customHeight="1" s="43">
      <c r="A3" s="69" t="inlineStr">
        <is>
          <t>DEF-02</t>
        </is>
      </c>
      <c r="B3" s="69" t="inlineStr">
        <is>
          <t>Credenciales de produccion expuestas en el historial de git sin rotar</t>
        </is>
      </c>
      <c r="C3" s="69" t="inlineStr">
        <is>
          <t>HT-06</t>
        </is>
      </c>
      <c r="D3" s="69" t="inlineStr">
        <is>
          <t>RQ-HT06-05</t>
        </is>
      </c>
      <c r="E3" s="69" t="inlineStr">
        <is>
          <t>CP-023, CP-024</t>
        </is>
      </c>
      <c r="F3" s="72" t="inlineStr">
        <is>
          <t>Crítica</t>
        </is>
      </c>
      <c r="G3" s="69" t="inlineStr">
        <is>
          <t>Alta</t>
        </is>
      </c>
      <c r="H3" s="69" t="inlineStr">
        <is>
          <t>Producción</t>
        </is>
      </c>
      <c r="I3" s="69" t="inlineStr">
        <is>
          <t>1. git log --all -p -S rds.amazonaws.com -- containers.json endpoint.json. 2. Revisar el commit dba450f.</t>
        </is>
      </c>
      <c r="J3" s="69" t="inlineStr">
        <is>
          <t>Ningun secreto en el historial, o secretos rotados</t>
        </is>
      </c>
      <c r="K3" s="69" t="inlineStr">
        <is>
          <t>El commit dba450f subio containers.json con la cadena de conexion de la BD (usuario y contrasena), JWT_SECRET y FTP_CREDENTIAL_KEY en texto plano; el commit ac48238 los quito del codigo actual pero dejo la rotacion pendiente</t>
        </is>
      </c>
      <c r="L3" s="69" t="inlineStr">
        <is>
          <t>test_ht06_local.py::test_ca5_historial_git_sin_contrasena_de_bd_remota y test_ca5_secretos_jwt_y_ftp_no_en_historial (pytest_ht06_local.html)</t>
        </is>
      </c>
      <c r="M3" s="69" t="inlineStr">
        <is>
          <t>QA</t>
        </is>
      </c>
      <c r="N3" s="69" t="inlineStr">
        <is>
          <t>28/10/2026</t>
        </is>
      </c>
      <c r="O3" s="69" t="inlineStr">
        <is>
          <t>Jareth (autor del despliegue)</t>
        </is>
      </c>
      <c r="P3" s="71" t="inlineStr">
        <is>
          <t>Nuevo</t>
        </is>
      </c>
      <c r="Q3" s="69" t="n"/>
      <c r="R3" s="69" t="inlineStr">
        <is>
          <t>Rotar la contrasena de la BD, JWT_SECRET y FTP_CREDENTIAL_KEY en el Container Service y en la BD, y reescribir o aceptar el historial (decision del PO). Las claves rotadas no se escriben en el repositorio.</t>
        </is>
      </c>
      <c r="S3" s="69" t="inlineStr">
        <is>
          <t>—</t>
        </is>
      </c>
    </row>
    <row r="4" ht="18.5" customFormat="1" customHeight="1" s="43">
      <c r="A4" s="69" t="inlineStr">
        <is>
          <t>DEF-03</t>
        </is>
      </c>
      <c r="B4" s="69" t="inlineStr">
        <is>
          <t>docker-compose: el worker y el beat no pueden conectarse a la BD local</t>
        </is>
      </c>
      <c r="C4" s="69" t="inlineStr">
        <is>
          <t>HT-06</t>
        </is>
      </c>
      <c r="D4" s="69" t="inlineStr">
        <is>
          <t>RQ-HT06-01</t>
        </is>
      </c>
      <c r="E4" s="69" t="inlineStr">
        <is>
          <t>CP-004</t>
        </is>
      </c>
      <c r="F4" s="70" t="inlineStr">
        <is>
          <t>Media</t>
        </is>
      </c>
      <c r="G4" s="69" t="inlineStr">
        <is>
          <t>Media</t>
        </is>
      </c>
      <c r="H4" s="69" t="inlineStr">
        <is>
          <t>Local</t>
        </is>
      </c>
      <c r="I4" s="69" t="inlineStr">
        <is>
          <t>1. docker compose --profile full up -d --build. 2. docker compose --profile full logs worker.</t>
        </is>
      </c>
      <c r="J4" s="69" t="inlineStr">
        <is>
          <t>worker y beat ejecutan sus tareas contra la BD del compose</t>
        </is>
      </c>
      <c r="K4" s="69" t="inlineStr">
        <is>
          <t>El servicio db crea el usuario postgres (clave postgres) y api, worker y beat se conectan como pangea:pangea_dev: 'password authentication failed for user pangea' en cada tarea</t>
        </is>
      </c>
      <c r="L4" s="69" t="inlineStr">
        <is>
          <t>docker_local_ca1.txt</t>
        </is>
      </c>
      <c r="M4" s="69" t="inlineStr">
        <is>
          <t>QA</t>
        </is>
      </c>
      <c r="N4" s="69" t="inlineStr">
        <is>
          <t>28/10/2026</t>
        </is>
      </c>
      <c r="O4" s="69" t="inlineStr">
        <is>
          <t>Dev (por asignar)</t>
        </is>
      </c>
      <c r="P4" s="71" t="inlineStr">
        <is>
          <t>Nuevo</t>
        </is>
      </c>
      <c r="Q4" s="69" t="n"/>
      <c r="R4" s="69" t="inlineStr">
        <is>
          <t>Alinear POSTGRES_USER y POSTGRES_PASSWORD del servicio db con la DATABASE_URL de api, worker y beat en docker-compose.yml.</t>
        </is>
      </c>
      <c r="S4" s="69" t="inlineStr">
        <is>
          <t>—</t>
        </is>
      </c>
    </row>
    <row r="5" ht="18.5" customFormat="1" customHeight="1" s="43">
      <c r="A5" s="69" t="inlineStr">
        <is>
          <t>DEF-04</t>
        </is>
      </c>
      <c r="B5" s="69" t="inlineStr">
        <is>
          <t>Desactivar un dispositivo no detiene el polling FTP: el sondeo sigue revisando su conexión y registrando archivos</t>
        </is>
      </c>
      <c r="C5" s="69" t="inlineStr">
        <is>
          <t>HU-18</t>
        </is>
      </c>
      <c r="D5" s="69" t="inlineStr">
        <is>
          <t>RQ-HU18-02</t>
        </is>
      </c>
      <c r="E5" s="69" t="inlineStr">
        <is>
          <t>CP-039, CP-051</t>
        </is>
      </c>
      <c r="F5" s="70" t="inlineStr">
        <is>
          <t>Alta</t>
        </is>
      </c>
      <c r="G5" s="69" t="inlineStr">
        <is>
          <t>Alta</t>
        </is>
      </c>
      <c r="H5" s="69" t="inlineStr">
        <is>
          <t>Local</t>
        </is>
      </c>
      <c r="I5" s="69" t="inlineStr">
        <is>
          <t>1. Levantar un FTP local con H_antes.dat y un dispositivo Activo con su conexión. 2. Ejecutar sondear_conexiones_ftp: detecta H_antes.dat. 3. Desactivar el dispositivo (DELETE /dispositivos/{id}). 4. Subir H_despues.dat, vencer la frecuencia de sondeo y ejecutar de nuevo el sondeo.</t>
        </is>
      </c>
      <c r="J5" s="69" t="inlineStr">
        <is>
          <t>El sondeo no se conecta al FTP del dispositivo desactivado ni registra archivos nuevos (PP-190, CA2: se detiene la ingesta de ese equipo)</t>
        </is>
      </c>
      <c r="K5" s="69" t="inlineStr">
        <is>
          <t>El sondeo sigue conectándose, crea el registro de H_despues.dat y encola procesar_archivo_dat. Ese job fallaría después con DispositivoNoResueltoError (no hay dispositivo Activo); no se ejecutó el worker.</t>
        </is>
      </c>
      <c r="L5" s="69" t="inlineStr">
        <is>
          <t>pytest_hu18.html y pytest_hu18_ftp_real.html (EV-HU18-INF-01, EV-HU18-INF-02)</t>
        </is>
      </c>
      <c r="M5" s="69" t="inlineStr">
        <is>
          <t>QA</t>
        </is>
      </c>
      <c r="N5" s="69" t="inlineStr">
        <is>
          <t>28/10/2026</t>
        </is>
      </c>
      <c r="O5" s="69" t="inlineStr">
        <is>
          <t>Jareth</t>
        </is>
      </c>
      <c r="P5" s="71" t="inlineStr">
        <is>
          <t>Cerrado</t>
        </is>
      </c>
      <c r="Q5" s="69" t="inlineStr">
        <is>
          <t>30/10/2026</t>
        </is>
      </c>
      <c r="R5" s="69" t="inlineStr">
        <is>
          <t>sondear_conexiones_ftp (backend/app/tasks/ingesta.py) filtra solo por ConexionFTP.estd = 'Activa' y no mira Dispositivo.estd. Solución: sondear solo las conexiones que tengan un dispositivo Activo (exists sobre Dispositivo.id_cnxn con estd = 'Activo'). El código de la HU18 (commit 2db9325) no tiene un autor identificable en git. Reprueba RG-05 y RG-06; CP-040 y CP-041 deben seguir aprobados. Ronda 2 (30/10/2026): Jareth agregó en sondear_conexiones_ftp un exists() sobre Dispositivo.estd = 'Activo' (commit dccdb60) y pruebas en tests/tasks/test_sondeo_ftp.py. QA lo verificó en 27ac90a: CP-039, CP-051 y RG-05 a RG-07 aprobados; reactivar reanuda el sondeo (CP-041).</t>
        </is>
      </c>
      <c r="S5" s="69" t="inlineStr">
        <is>
          <t>RG-05, RG-06 (aprobadas en la ronda 2)</t>
        </is>
      </c>
    </row>
    <row r="6" ht="18.5" customFormat="1" customHeight="1" s="28">
      <c r="A6" s="69" t="n"/>
      <c r="B6" s="69" t="n"/>
      <c r="C6" s="69" t="n"/>
      <c r="D6" s="69" t="n"/>
      <c r="E6" s="69" t="n"/>
      <c r="F6" s="70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1" t="n"/>
      <c r="Q6" s="69" t="n"/>
      <c r="R6" s="69" t="n"/>
      <c r="S6" s="69" t="n"/>
    </row>
    <row r="7" ht="18.5" customFormat="1" customHeight="1" s="28">
      <c r="A7" s="69" t="n"/>
      <c r="B7" s="69" t="n"/>
      <c r="C7" s="69" t="n"/>
      <c r="D7" s="69" t="n"/>
      <c r="E7" s="69" t="n"/>
      <c r="F7" s="70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71" t="n"/>
      <c r="Q7" s="69" t="n"/>
      <c r="R7" s="69" t="n"/>
      <c r="S7" s="69" t="n"/>
    </row>
    <row r="8" ht="18.5" customFormat="1" customHeight="1" s="28">
      <c r="A8" s="69" t="n"/>
      <c r="B8" s="69" t="n"/>
      <c r="C8" s="69" t="n"/>
      <c r="D8" s="69" t="n"/>
      <c r="E8" s="69" t="n"/>
      <c r="F8" s="70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71" t="n"/>
      <c r="Q8" s="69" t="n"/>
      <c r="R8" s="69" t="n"/>
      <c r="S8" s="69" t="n"/>
    </row>
    <row r="9" ht="18.5" customFormat="1" customHeight="1" s="28">
      <c r="A9" s="69" t="n"/>
      <c r="B9" s="69" t="n"/>
      <c r="C9" s="69" t="n"/>
      <c r="D9" s="69" t="n"/>
      <c r="E9" s="69" t="n"/>
      <c r="F9" s="70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71" t="n"/>
      <c r="Q9" s="69" t="n"/>
      <c r="R9" s="69" t="n"/>
      <c r="S9" s="69" t="n"/>
    </row>
    <row r="10" ht="18.5" customFormat="1" customHeight="1" s="28">
      <c r="A10" s="69" t="n"/>
      <c r="B10" s="69" t="n"/>
      <c r="C10" s="69" t="n"/>
      <c r="D10" s="69" t="n"/>
      <c r="E10" s="69" t="n"/>
      <c r="F10" s="70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71" t="n"/>
      <c r="Q10" s="69" t="n"/>
      <c r="R10" s="69" t="n"/>
      <c r="S10" s="69" t="n"/>
    </row>
    <row r="11" ht="18.5" customFormat="1" customHeight="1" s="28">
      <c r="A11" s="69" t="n"/>
      <c r="B11" s="69" t="n"/>
      <c r="C11" s="69" t="n"/>
      <c r="D11" s="69" t="n"/>
      <c r="E11" s="69" t="n"/>
      <c r="F11" s="70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71" t="n"/>
      <c r="Q11" s="69" t="n"/>
      <c r="R11" s="69" t="n"/>
      <c r="S11" s="69" t="n"/>
    </row>
    <row r="12" ht="18.5" customFormat="1" customHeight="1" s="28">
      <c r="A12" s="69" t="n"/>
      <c r="B12" s="69" t="n"/>
      <c r="C12" s="69" t="n"/>
      <c r="D12" s="69" t="n"/>
      <c r="E12" s="69" t="n"/>
      <c r="F12" s="70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71" t="n"/>
      <c r="Q12" s="69" t="n"/>
      <c r="R12" s="69" t="n"/>
      <c r="S12" s="69" t="n"/>
    </row>
    <row r="13" ht="18.5" customFormat="1" customHeight="1" s="28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</row>
    <row r="14" ht="18.5" customFormat="1" customHeight="1" s="28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</row>
    <row r="15" ht="18.5" customFormat="1" customHeight="1" s="28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</row>
    <row r="16" ht="18.5" customFormat="1" customHeight="1" s="28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</row>
  </sheetData>
  <conditionalFormatting sqref="F2:F200">
    <cfRule type="cellIs" rank="0" priority="2" equalAverage="0" operator="equal" aboveAverage="0" dxfId="0" text="" percent="0" bottom="0">
      <formula>"Crítica"</formula>
    </cfRule>
    <cfRule type="cellIs" rank="0" priority="3" equalAverage="0" operator="equal" aboveAverage="0" dxfId="1" text="" percent="0" bottom="0">
      <formula>"Alta"</formula>
    </cfRule>
    <cfRule type="cellIs" rank="0" priority="4" equalAverage="0" operator="equal" aboveAverage="0" dxfId="2" text="" percent="0" bottom="0">
      <formula>"Media"</formula>
    </cfRule>
    <cfRule type="cellIs" rank="0" priority="5" equalAverage="0" operator="equal" aboveAverage="0" dxfId="3" text="" percent="0" bottom="0">
      <formula>"Baja"</formula>
    </cfRule>
  </conditionalFormatting>
  <conditionalFormatting sqref="P2:P200">
    <cfRule type="cellIs" rank="0" priority="6" equalAverage="0" operator="equal" aboveAverage="0" dxfId="4" text="" percent="0" bottom="0">
      <formula>"Cerrado"</formula>
    </cfRule>
    <cfRule type="cellIs" rank="0" priority="7" equalAverage="0" operator="equal" aboveAverage="0" dxfId="0" text="" percent="0" bottom="0">
      <formula>"Reabierto"</formula>
    </cfRule>
    <cfRule type="cellIs" rank="0" priority="8" equalAverage="0" operator="equal" aboveAverage="0" dxfId="1" text="" percent="0" bottom="0">
      <formula>"Nuevo"</formula>
    </cfRule>
    <cfRule type="cellIs" rank="0" priority="9" equalAverage="0" operator="equal" aboveAverage="0" dxfId="1" text="" percent="0" bottom="0">
      <formula>"Pendiente"</formula>
    </cfRule>
    <cfRule type="cellIs" rank="0" priority="10" equalAverage="0" operator="equal" aboveAverage="0" dxfId="2" text="" percent="0" bottom="0">
      <formula>"Corregido"</formula>
    </cfRule>
  </conditionalFormatting>
  <dataValidations count="4">
    <dataValidation sqref="F2:F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G2:G200" showDropDown="0" showInputMessage="0" showErrorMessage="0" allowBlank="1" errorTitle="Valor no válido" error="Elige un valor de la lista." type="list" errorStyle="stop" operator="between">
      <formula1>"Alta,Media,Baja"</formula1>
      <formula2>0</formula2>
    </dataValidation>
    <dataValidation sqref="H2:H200" showDropDown="0" showInputMessage="0" showErrorMessage="0" allowBlank="1" errorTitle="Valor no válido" error="Elige un valor de la lista." type="list" errorStyle="stop" operator="between">
      <formula1>"Local,Staging,Producción"</formula1>
      <formula2>0</formula2>
    </dataValidation>
    <dataValidation sqref="P2:P200" showDropDown="0" showInputMessage="0" showErrorMessage="0" allowBlank="1" errorTitle="Valor no válido" error="Elige un valor de la lista." type="list" errorStyle="stop" operator="between">
      <formula1>"Pendiente,Nuevo,Asignado,En corrección,Corregido,Cerrado,Reabierto,Rechazado"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9" customWidth="1" style="27" min="2" max="3"/>
    <col width="13" customWidth="1" style="31" min="3" max="3"/>
    <col width="60" customWidth="1" style="27" min="4" max="4"/>
    <col width="50" customWidth="1" style="27" min="5" max="5"/>
    <col width="16" customWidth="1" style="27" min="6" max="6"/>
    <col width="12" customWidth="1" style="27" min="7" max="7"/>
    <col width="14" customWidth="1" style="27" min="8" max="8"/>
    <col width="20" customWidth="1" style="31" min="9" max="9"/>
    <col width="11" customWidth="1" style="31" min="10" max="10"/>
    <col width="13" customWidth="1" style="31" min="11" max="11"/>
    <col width="13" customWidth="1" style="31" min="12" max="12"/>
    <col width="13" customWidth="1" style="31" min="13" max="13"/>
    <col width="40" customWidth="1" style="31" min="14" max="14"/>
  </cols>
  <sheetData>
    <row r="1" ht="33" customFormat="1" customHeight="1" s="28">
      <c r="A1" s="68" t="inlineStr">
        <is>
          <t>ID</t>
        </is>
      </c>
      <c r="B1" s="68" t="inlineStr">
        <is>
          <t>Caso</t>
        </is>
      </c>
      <c r="C1" s="68" t="inlineStr">
        <is>
          <t>Historia</t>
        </is>
      </c>
      <c r="D1" s="68" t="inlineStr">
        <is>
          <t>Observación</t>
        </is>
      </c>
      <c r="E1" s="68" t="inlineStr">
        <is>
          <t>Sugerencia</t>
        </is>
      </c>
      <c r="F1" s="68" t="inlineStr">
        <is>
          <t>Reportado por</t>
        </is>
      </c>
      <c r="G1" s="68" t="inlineStr">
        <is>
          <t>Fecha</t>
        </is>
      </c>
      <c r="H1" s="68" t="inlineStr">
        <is>
          <t>Estado</t>
        </is>
      </c>
      <c r="I1" s="68" t="inlineStr">
        <is>
          <t>Tipo</t>
        </is>
      </c>
      <c r="J1" s="68" t="inlineStr">
        <is>
          <t>Severidad</t>
        </is>
      </c>
      <c r="K1" s="68" t="inlineStr">
        <is>
          <t>Responsable</t>
        </is>
      </c>
      <c r="L1" s="68" t="inlineStr">
        <is>
          <t>Fecha límite</t>
        </is>
      </c>
      <c r="M1" s="68" t="inlineStr">
        <is>
          <t>Fecha de cierre</t>
        </is>
      </c>
      <c r="N1" s="68" t="inlineStr">
        <is>
          <t>Resolución</t>
        </is>
      </c>
    </row>
    <row r="2" ht="35.9" customFormat="1" customHeight="1" s="43">
      <c r="A2" s="73" t="inlineStr">
        <is>
          <t>OBS-01</t>
        </is>
      </c>
      <c r="B2" s="73" t="inlineStr">
        <is>
          <t>CP-005</t>
        </is>
      </c>
      <c r="C2" s="73" t="inlineStr">
        <is>
          <t>HT-06</t>
        </is>
      </c>
      <c r="D2" s="73" t="inlineStr">
        <is>
          <t>El receptor FTP/TCP pedido por la HU no existe como contenedor; la ingesta funciona por sondeo desde Celery</t>
        </is>
      </c>
      <c r="E2" s="73" t="inlineStr">
        <is>
          <t>Confirmar si el sondeo reemplaza al receptor y, si es asi, actualizar la HU</t>
        </is>
      </c>
      <c r="F2" s="73" t="inlineStr">
        <is>
          <t>QA</t>
        </is>
      </c>
      <c r="G2" s="73" t="inlineStr">
        <is>
          <t>28/10/2026</t>
        </is>
      </c>
      <c r="H2" s="73" t="inlineStr">
        <is>
          <t>Abierta</t>
        </is>
      </c>
      <c r="I2" s="73" t="inlineStr">
        <is>
          <t>Decisión del PO</t>
        </is>
      </c>
      <c r="J2" s="73" t="inlineStr">
        <is>
          <t>Media</t>
        </is>
      </c>
      <c r="K2" s="73" t="inlineStr">
        <is>
          <t>PO</t>
        </is>
      </c>
      <c r="L2" s="73" t="n"/>
      <c r="M2" s="73" t="n"/>
      <c r="N2" s="73" t="n"/>
    </row>
    <row r="3" ht="51.9" customFormat="1" customHeight="1" s="43">
      <c r="A3" s="73" t="inlineStr">
        <is>
          <t>OBS-02</t>
        </is>
      </c>
      <c r="B3" s="73" t="inlineStr">
        <is>
          <t>CP-003</t>
        </is>
      </c>
      <c r="C3" s="73" t="inlineStr">
        <is>
          <t>HT-06</t>
        </is>
      </c>
      <c r="D3" s="73" t="inlineStr">
        <is>
          <t>containers.example.json usa el servicio pangea-app y el servicio real se llama pangea-api</t>
        </is>
      </c>
      <c r="E3" s="73" t="inlineStr">
        <is>
          <t>Actualizar la plantilla con el nombre real</t>
        </is>
      </c>
      <c r="F3" s="73" t="inlineStr">
        <is>
          <t>QA</t>
        </is>
      </c>
      <c r="G3" s="73" t="inlineStr">
        <is>
          <t>28/10/2026</t>
        </is>
      </c>
      <c r="H3" s="73" t="inlineStr">
        <is>
          <t>Abierta</t>
        </is>
      </c>
      <c r="I3" s="73" t="inlineStr">
        <is>
          <t>Mejora técnica</t>
        </is>
      </c>
      <c r="J3" s="73" t="inlineStr">
        <is>
          <t>Baja</t>
        </is>
      </c>
      <c r="K3" s="73" t="inlineStr">
        <is>
          <t>Dev</t>
        </is>
      </c>
      <c r="L3" s="73" t="n"/>
      <c r="M3" s="73" t="n"/>
      <c r="N3" s="73" t="n"/>
    </row>
    <row r="4" ht="35.9" customFormat="1" customHeight="1" s="28">
      <c r="A4" s="73" t="inlineStr">
        <is>
          <t>OBS-03</t>
        </is>
      </c>
      <c r="B4" s="73" t="inlineStr">
        <is>
          <t>CP-003</t>
        </is>
      </c>
      <c r="C4" s="73" t="inlineStr">
        <is>
          <t>HT-06</t>
        </is>
      </c>
      <c r="D4" s="73" t="inlineStr">
        <is>
          <t>Redis corre dentro del mismo servicio, sin volumen: la cola y la cache se pierden en cada redeploy</t>
        </is>
      </c>
      <c r="E4" s="73" t="inlineStr">
        <is>
          <t>Evaluar un Redis administrado o persistencia</t>
        </is>
      </c>
      <c r="F4" s="73" t="inlineStr">
        <is>
          <t>QA</t>
        </is>
      </c>
      <c r="G4" s="73" t="inlineStr">
        <is>
          <t>28/10/2026</t>
        </is>
      </c>
      <c r="H4" s="73" t="inlineStr">
        <is>
          <t>Abierta</t>
        </is>
      </c>
      <c r="I4" s="73" t="inlineStr">
        <is>
          <t>Mejora técnica</t>
        </is>
      </c>
      <c r="J4" s="73" t="inlineStr">
        <is>
          <t>Media</t>
        </is>
      </c>
      <c r="K4" s="73" t="inlineStr">
        <is>
          <t>Dev</t>
        </is>
      </c>
      <c r="L4" s="73" t="n"/>
      <c r="M4" s="73" t="n"/>
      <c r="N4" s="73" t="n"/>
    </row>
    <row r="5" ht="51.9" customFormat="1" customHeight="1" s="28">
      <c r="A5" s="73" t="inlineStr">
        <is>
          <t>OBS-04</t>
        </is>
      </c>
      <c r="B5" s="73" t="inlineStr">
        <is>
          <t>CP-009</t>
        </is>
      </c>
      <c r="C5" s="73" t="inlineStr">
        <is>
          <t>HT-06</t>
        </is>
      </c>
      <c r="D5" s="73" t="inlineStr">
        <is>
          <t>El bucket pangea-storage-prod no tiene versionado (NeverEnabled)</t>
        </is>
      </c>
      <c r="E5" s="73" t="inlineStr">
        <is>
          <t>Activar el versionado si se guardaran respaldos</t>
        </is>
      </c>
      <c r="F5" s="73" t="inlineStr">
        <is>
          <t>QA</t>
        </is>
      </c>
      <c r="G5" s="73" t="inlineStr">
        <is>
          <t>28/10/2026</t>
        </is>
      </c>
      <c r="H5" s="73" t="inlineStr">
        <is>
          <t>Abierta</t>
        </is>
      </c>
      <c r="I5" s="73" t="inlineStr">
        <is>
          <t>Mejora técnica</t>
        </is>
      </c>
      <c r="J5" s="73" t="inlineStr">
        <is>
          <t>Baja</t>
        </is>
      </c>
      <c r="K5" s="73" t="inlineStr">
        <is>
          <t>Dev</t>
        </is>
      </c>
      <c r="L5" s="73" t="n"/>
      <c r="M5" s="73" t="n"/>
      <c r="N5" s="73" t="n"/>
    </row>
    <row r="6" ht="83.8" customFormat="1" customHeight="1" s="28">
      <c r="A6" s="73" t="inlineStr">
        <is>
          <t>OBS-05</t>
        </is>
      </c>
      <c r="B6" s="73" t="inlineStr">
        <is>
          <t>CP-013</t>
        </is>
      </c>
      <c r="C6" s="73" t="inlineStr">
        <is>
          <t>HT-06</t>
        </is>
      </c>
      <c r="D6" s="73" t="inlineStr">
        <is>
          <t>La persistencia tras un redeploy no se probo: produccion es compartida y el servidor de pruebas esta en curso</t>
        </is>
      </c>
      <c r="E6" s="73" t="inlineStr">
        <is>
          <t>Probar en el servidor de pruebas cuando exista</t>
        </is>
      </c>
      <c r="F6" s="73" t="inlineStr">
        <is>
          <t>QA</t>
        </is>
      </c>
      <c r="G6" s="73" t="inlineStr">
        <is>
          <t>28/10/2026</t>
        </is>
      </c>
      <c r="H6" s="73" t="inlineStr">
        <is>
          <t>Abierta</t>
        </is>
      </c>
      <c r="I6" s="73" t="inlineStr">
        <is>
          <t>Cobertura pendiente</t>
        </is>
      </c>
      <c r="J6" s="73" t="inlineStr">
        <is>
          <t>Media</t>
        </is>
      </c>
      <c r="K6" s="73" t="inlineStr">
        <is>
          <t>PO</t>
        </is>
      </c>
      <c r="L6" s="73" t="n"/>
      <c r="M6" s="73" t="n"/>
      <c r="N6" s="73" t="n"/>
    </row>
    <row r="7" ht="51.9" customFormat="1" customHeight="1" s="28">
      <c r="A7" s="73" t="inlineStr">
        <is>
          <t>OBS-06</t>
        </is>
      </c>
      <c r="B7" s="73" t="inlineStr">
        <is>
          <t>CP-004</t>
        </is>
      </c>
      <c r="C7" s="73" t="inlineStr">
        <is>
          <t>HT-06</t>
        </is>
      </c>
      <c r="D7" s="73" t="inlineStr">
        <is>
          <t>Docker Desktop y AWS CLI no estaban instalados en el equipo de QA</t>
        </is>
      </c>
      <c r="E7" s="73" t="inlineStr">
        <is>
          <t>Se instalaron el 28/10/2026</t>
        </is>
      </c>
      <c r="F7" s="73" t="inlineStr">
        <is>
          <t>QA</t>
        </is>
      </c>
      <c r="G7" s="73" t="inlineStr">
        <is>
          <t>28/10/2026</t>
        </is>
      </c>
      <c r="H7" s="73" t="inlineStr">
        <is>
          <t>Aceptada</t>
        </is>
      </c>
      <c r="I7" s="73" t="inlineStr">
        <is>
          <t>Entorno</t>
        </is>
      </c>
      <c r="J7" s="73" t="inlineStr">
        <is>
          <t>Baja</t>
        </is>
      </c>
      <c r="K7" s="73" t="inlineStr">
        <is>
          <t>QA</t>
        </is>
      </c>
      <c r="L7" s="73" t="n"/>
      <c r="M7" s="73" t="inlineStr">
        <is>
          <t>28/10/2026</t>
        </is>
      </c>
      <c r="N7" s="73" t="inlineStr">
        <is>
          <t>Se instalaron Docker Desktop y AWS CLI</t>
        </is>
      </c>
    </row>
    <row r="8" ht="51.9" customFormat="1" customHeight="1" s="28">
      <c r="A8" s="73" t="inlineStr">
        <is>
          <t>OBS-07</t>
        </is>
      </c>
      <c r="B8" s="73" t="inlineStr">
        <is>
          <t>CP-003</t>
        </is>
      </c>
      <c r="C8" s="73" t="inlineStr">
        <is>
          <t>HT-06</t>
        </is>
      </c>
      <c r="D8" s="73" t="inlineStr">
        <is>
          <t>El Container Service tiene 4 contenedores en un servicio con escala 1: no se puede escalar cada componente por separado</t>
        </is>
      </c>
      <c r="E8" s="73" t="inlineStr">
        <is>
          <t>Decidir si se separan en servicios</t>
        </is>
      </c>
      <c r="F8" s="73" t="inlineStr">
        <is>
          <t>QA</t>
        </is>
      </c>
      <c r="G8" s="73" t="inlineStr">
        <is>
          <t>28/10/2026</t>
        </is>
      </c>
      <c r="H8" s="73" t="inlineStr">
        <is>
          <t>Abierta</t>
        </is>
      </c>
      <c r="I8" s="73" t="inlineStr">
        <is>
          <t>Decisión del PO</t>
        </is>
      </c>
      <c r="J8" s="73" t="inlineStr">
        <is>
          <t>Media</t>
        </is>
      </c>
      <c r="K8" s="73" t="inlineStr">
        <is>
          <t>PO</t>
        </is>
      </c>
      <c r="L8" s="73" t="n"/>
      <c r="M8" s="73" t="n"/>
      <c r="N8" s="73" t="n"/>
    </row>
    <row r="9" ht="51.9" customFormat="1" customHeight="1" s="28">
      <c r="A9" s="73" t="inlineStr">
        <is>
          <t>OBS-08</t>
        </is>
      </c>
      <c r="B9" s="73" t="inlineStr">
        <is>
          <t>—</t>
        </is>
      </c>
      <c r="C9" s="73" t="inlineStr">
        <is>
          <t>HT-06</t>
        </is>
      </c>
      <c r="D9" s="73" t="inlineStr">
        <is>
          <t>Instancia Servidores-ceneris (ajena a Pangea): bases publicadas en 0.0.0.0 (puertos 5437 y 3307), 45 actualizaciones, reinicio pendiente y swap al 80 %</t>
        </is>
      </c>
      <c r="E9" s="73" t="inlineStr">
        <is>
          <t>Revisar el firewall de la instancia</t>
        </is>
      </c>
      <c r="F9" s="73" t="inlineStr">
        <is>
          <t>QA</t>
        </is>
      </c>
      <c r="G9" s="73" t="inlineStr">
        <is>
          <t>28/10/2026</t>
        </is>
      </c>
      <c r="H9" s="73" t="inlineStr">
        <is>
          <t>Trasladada</t>
        </is>
      </c>
      <c r="I9" s="73" t="inlineStr">
        <is>
          <t>Ajena a la HU</t>
        </is>
      </c>
      <c r="J9" s="73" t="inlineStr">
        <is>
          <t>Media</t>
        </is>
      </c>
      <c r="K9" s="73" t="inlineStr">
        <is>
          <t>PO</t>
        </is>
      </c>
      <c r="L9" s="73" t="n"/>
      <c r="M9" s="73" t="n"/>
      <c r="N9" s="73" t="inlineStr">
        <is>
          <t>Se informa al responsable de la instancia</t>
        </is>
      </c>
    </row>
    <row r="10" ht="51.9" customFormat="1" customHeight="1" s="28">
      <c r="A10" s="73" t="inlineStr">
        <is>
          <t>OBS-09</t>
        </is>
      </c>
      <c r="B10" s="73" t="inlineStr">
        <is>
          <t>CP-034</t>
        </is>
      </c>
      <c r="C10" s="73" t="inlineStr">
        <is>
          <t>HU-18</t>
        </is>
      </c>
      <c r="D10" s="73" t="inlineStr">
        <is>
          <t>Con la regla comercial vigente (exigir_operacion, backend/app/services/contratos.py, commit b948aac) desactivar y reactivar un dispositivo devuelve 409 «La empresa está en modo consulta» si la empresa no tiene suscripción vigente. La HU18 no menciona esa condición: en ese caso un Técnico CENERIS no puede detener la ingesta de un equipo.</t>
        </is>
      </c>
      <c r="E10" s="73" t="inlineStr">
        <is>
          <t>El PO confirma si desactivar debe poder hacerse en modo consulta (donde la ingesta se conserva) o si la restricción es intencional y se documenta en la HU.</t>
        </is>
      </c>
      <c r="F10" s="73" t="inlineStr">
        <is>
          <t>QA</t>
        </is>
      </c>
      <c r="G10" s="73" t="inlineStr">
        <is>
          <t>28/10/2026</t>
        </is>
      </c>
      <c r="H10" s="73" t="inlineStr">
        <is>
          <t>Abierta</t>
        </is>
      </c>
      <c r="I10" s="73" t="inlineStr">
        <is>
          <t>Decisión del PO</t>
        </is>
      </c>
      <c r="J10" s="73" t="inlineStr">
        <is>
          <t>Media</t>
        </is>
      </c>
      <c r="K10" s="73" t="inlineStr">
        <is>
          <t>PO</t>
        </is>
      </c>
      <c r="L10" s="73" t="n"/>
      <c r="M10" s="73" t="n"/>
      <c r="N10" s="73" t="n"/>
    </row>
    <row r="11" ht="51.9" customFormat="1" customHeight="1" s="28">
      <c r="A11" s="73" t="inlineStr">
        <is>
          <t>OBS-10</t>
        </is>
      </c>
      <c r="B11" s="73" t="inlineStr">
        <is>
          <t>CP-052</t>
        </is>
      </c>
      <c r="C11" s="73" t="inlineStr">
        <is>
          <t>HU-18</t>
        </is>
      </c>
      <c r="D11" s="73" t="inlineStr">
        <is>
          <t>El botón de confirmación del modal se llama «Desactivar» (con la cuenta regresiva «Desactivar (3)»), no «CONFIRMAR» como dice el CA2. El comportamiento pedido (confirmar cambia a Inactivo y muestra el mensaje) se cumple.</t>
        </is>
      </c>
      <c r="E11" s="73" t="inlineStr">
        <is>
          <t>Que el PO acepte la etiqueta actual o pida cambiarla a CONFIRMAR.</t>
        </is>
      </c>
      <c r="F11" s="73" t="inlineStr">
        <is>
          <t>QA</t>
        </is>
      </c>
      <c r="G11" s="73" t="inlineStr">
        <is>
          <t>28/10/2026</t>
        </is>
      </c>
      <c r="H11" s="73" t="inlineStr">
        <is>
          <t>Abierta</t>
        </is>
      </c>
      <c r="I11" s="73" t="inlineStr">
        <is>
          <t>Decisión del PO</t>
        </is>
      </c>
      <c r="J11" s="73" t="inlineStr">
        <is>
          <t>Baja</t>
        </is>
      </c>
      <c r="K11" s="73" t="inlineStr">
        <is>
          <t>PO</t>
        </is>
      </c>
      <c r="L11" s="73" t="n"/>
      <c r="M11" s="73" t="n"/>
      <c r="N11" s="73" t="n"/>
    </row>
    <row r="12" ht="51.9" customFormat="1" customHeight="1" s="28">
      <c r="A12" s="73" t="inlineStr">
        <is>
          <t>OBS-11</t>
        </is>
      </c>
      <c r="B12" s="73" t="inlineStr">
        <is>
          <t>CP-030</t>
        </is>
      </c>
      <c r="C12" s="73" t="inlineStr">
        <is>
          <t>HU-18</t>
        </is>
      </c>
      <c r="D12" s="73" t="inlineStr">
        <is>
          <t>Tras la suscripción obligatoria (commit b948aac), 54 de 214 tests de las suites existentes (test_dispositivos.py, test_mapeos.py, test_ingesta_cola.py y tests/tasks) fallan en regresión porque sus fixtures no crean una suscripción vigente. 46 son el 409 de modo consulta; el resto son errores en cascada y 3 o 4 casos no se analizaron por separado. Entre ellos están TestEliminarDispositivo::test_desactiva_el_dispositivo y TestReactivarDispositivo::test_reactiva_el_dispositivo, los tests originales de HU18.</t>
        </is>
      </c>
      <c r="E12" s="73" t="inlineStr">
        <is>
          <t>Agregar a tests/conftest.py un fixture común con suscripción vigente (como con_suscripcion_vigente en test_hu18_qa.py) y volver a ejecutar la suite.</t>
        </is>
      </c>
      <c r="F12" s="73" t="inlineStr">
        <is>
          <t>QA</t>
        </is>
      </c>
      <c r="G12" s="73" t="inlineStr">
        <is>
          <t>28/10/2026</t>
        </is>
      </c>
      <c r="H12" s="73" t="inlineStr">
        <is>
          <t>Abierta</t>
        </is>
      </c>
      <c r="I12" s="73" t="inlineStr">
        <is>
          <t>Mejora técnica</t>
        </is>
      </c>
      <c r="J12" s="73" t="inlineStr">
        <is>
          <t>Media</t>
        </is>
      </c>
      <c r="K12" s="73" t="inlineStr">
        <is>
          <t>Dev</t>
        </is>
      </c>
      <c r="L12" s="73" t="n"/>
      <c r="M12" s="73" t="n"/>
      <c r="N12" s="73" t="n"/>
    </row>
    <row r="13" ht="51.9" customFormat="1" customHeight="1" s="28">
      <c r="A13" s="73" t="inlineStr">
        <is>
          <t>OBS-12</t>
        </is>
      </c>
      <c r="B13" s="73" t="inlineStr">
        <is>
          <t>—</t>
        </is>
      </c>
      <c r="C13" s="73" t="inlineStr">
        <is>
          <t>HU-18</t>
        </is>
      </c>
      <c r="D13" s="73" t="inlineStr">
        <is>
          <t>QA levantó en local Postgres y Redis con docker compose (puerto 5433), creó las bases pangea_test y pangea_e2e, instaló pyftpdlib y Playwright (backend/qa/playwright_hu18) y quitó la marca de cambio de contraseña solo en pangea_e2e. No se tocó el Postgres local existente (5432) ni producción.</t>
        </is>
      </c>
      <c r="E13" s="73" t="inlineStr">
        <is>
          <t>Descartar las bases y las cuentas del seed al terminar la ronda.</t>
        </is>
      </c>
      <c r="F13" s="73" t="inlineStr">
        <is>
          <t>QA</t>
        </is>
      </c>
      <c r="G13" s="73" t="inlineStr">
        <is>
          <t>28/10/2026</t>
        </is>
      </c>
      <c r="H13" s="73" t="inlineStr">
        <is>
          <t>Aceptada</t>
        </is>
      </c>
      <c r="I13" s="73" t="inlineStr">
        <is>
          <t>Entorno</t>
        </is>
      </c>
      <c r="J13" s="73" t="inlineStr">
        <is>
          <t>Baja</t>
        </is>
      </c>
      <c r="K13" s="73" t="inlineStr">
        <is>
          <t>QA</t>
        </is>
      </c>
      <c r="L13" s="73" t="n"/>
      <c r="M13" s="73" t="inlineStr">
        <is>
          <t>28/10/2026</t>
        </is>
      </c>
      <c r="N13" s="73" t="inlineStr">
        <is>
          <t>Entorno local descartable; no afecta al producto.</t>
        </is>
      </c>
    </row>
    <row r="14" ht="51.9" customFormat="1" customHeight="1" s="28">
      <c r="A14" s="73" t="inlineStr">
        <is>
          <t>OBS-13</t>
        </is>
      </c>
      <c r="B14" s="73" t="inlineStr">
        <is>
          <t>—</t>
        </is>
      </c>
      <c r="C14" s="73" t="inlineStr">
        <is>
          <t>HU-18</t>
        </is>
      </c>
      <c r="D14" s="73" t="inlineStr">
        <is>
          <t>No se probó producción ni un datalogger real: el polling se verificó con un servidor FTP local (pyftpdlib) y con el sondeo de Celery real sobre la BD de test. El historial (PP-191) se verificó con la BD y GET /mediciones; no se midió cobertura de líneas.</t>
        </is>
      </c>
      <c r="E14" s="73" t="inlineStr">
        <is>
          <t>Repetir la prueba de polling en el servidor de pruebas cuando esté disponible y después de corregir DEF-04.</t>
        </is>
      </c>
      <c r="F14" s="73" t="inlineStr">
        <is>
          <t>QA</t>
        </is>
      </c>
      <c r="G14" s="73" t="inlineStr">
        <is>
          <t>28/10/2026</t>
        </is>
      </c>
      <c r="H14" s="73" t="inlineStr">
        <is>
          <t>Abierta</t>
        </is>
      </c>
      <c r="I14" s="73" t="inlineStr">
        <is>
          <t>Cobertura pendiente</t>
        </is>
      </c>
      <c r="J14" s="73" t="inlineStr">
        <is>
          <t>Media</t>
        </is>
      </c>
      <c r="K14" s="73" t="inlineStr">
        <is>
          <t>PO</t>
        </is>
      </c>
      <c r="L14" s="73" t="n"/>
      <c r="M14" s="73" t="n"/>
      <c r="N14" s="73" t="n"/>
    </row>
    <row r="15" ht="51.9" customFormat="1" customHeight="1" s="28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</row>
    <row r="16" ht="51.9" customFormat="1" customHeight="1" s="2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</row>
    <row r="22" ht="18.5" customFormat="1" customHeight="1" s="28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</row>
    <row r="23" s="31">
      <c r="A23" s="57" t="n"/>
      <c r="B23" s="57" t="n"/>
      <c r="C23" s="57" t="n"/>
      <c r="D23" s="57" t="n"/>
      <c r="E23" s="57" t="n"/>
      <c r="F23" s="57" t="n"/>
      <c r="G23" s="57" t="n"/>
      <c r="H23" s="57" t="n"/>
      <c r="I23" s="85" t="n"/>
      <c r="J23" s="85" t="n"/>
      <c r="K23" s="85" t="n"/>
      <c r="L23" s="85" t="n"/>
      <c r="M23" s="85" t="n"/>
      <c r="N23" s="85" t="n"/>
    </row>
    <row r="24" s="31">
      <c r="A24" s="57" t="n"/>
      <c r="B24" s="57" t="n"/>
      <c r="C24" s="57" t="n"/>
      <c r="D24" s="57" t="n"/>
      <c r="E24" s="57" t="n"/>
      <c r="F24" s="57" t="n"/>
      <c r="G24" s="57" t="n"/>
      <c r="H24" s="57" t="n"/>
      <c r="I24" s="85" t="n"/>
      <c r="J24" s="85" t="n"/>
      <c r="K24" s="85" t="n"/>
      <c r="L24" s="85" t="n"/>
      <c r="M24" s="85" t="n"/>
      <c r="N24" s="85" t="n"/>
    </row>
    <row r="25" s="31">
      <c r="A25" s="57" t="n"/>
      <c r="B25" s="57" t="n"/>
      <c r="C25" s="57" t="n"/>
      <c r="D25" s="57" t="n"/>
      <c r="E25" s="57" t="n"/>
      <c r="F25" s="57" t="n"/>
      <c r="G25" s="57" t="n"/>
      <c r="H25" s="57" t="n"/>
      <c r="I25" s="85" t="n"/>
      <c r="J25" s="85" t="n"/>
      <c r="K25" s="85" t="n"/>
      <c r="L25" s="85" t="n"/>
      <c r="M25" s="85" t="n"/>
      <c r="N25" s="85" t="n"/>
    </row>
    <row r="26" s="31">
      <c r="A26" s="57" t="n"/>
      <c r="B26" s="57" t="n"/>
      <c r="C26" s="57" t="n"/>
      <c r="D26" s="57" t="n"/>
      <c r="E26" s="57" t="n"/>
      <c r="F26" s="57" t="n"/>
      <c r="G26" s="57" t="n"/>
      <c r="H26" s="57" t="n"/>
      <c r="I26" s="85" t="n"/>
      <c r="J26" s="85" t="n"/>
      <c r="K26" s="85" t="n"/>
      <c r="L26" s="85" t="n"/>
      <c r="M26" s="85" t="n"/>
      <c r="N26" s="85" t="n"/>
    </row>
    <row r="27" s="31">
      <c r="A27" s="57" t="n"/>
      <c r="B27" s="57" t="n"/>
      <c r="C27" s="57" t="n"/>
      <c r="D27" s="57" t="n"/>
      <c r="E27" s="57" t="n"/>
      <c r="F27" s="57" t="n"/>
      <c r="G27" s="57" t="n"/>
      <c r="H27" s="57" t="n"/>
      <c r="I27" s="85" t="n"/>
      <c r="J27" s="85" t="n"/>
      <c r="K27" s="85" t="n"/>
      <c r="L27" s="85" t="n"/>
      <c r="M27" s="85" t="n"/>
      <c r="N27" s="85" t="n"/>
    </row>
    <row r="28" s="31">
      <c r="A28" s="57" t="n"/>
      <c r="B28" s="57" t="n"/>
      <c r="C28" s="57" t="n"/>
      <c r="D28" s="57" t="n"/>
      <c r="E28" s="57" t="n"/>
      <c r="F28" s="57" t="n"/>
      <c r="G28" s="57" t="n"/>
      <c r="H28" s="57" t="n"/>
      <c r="I28" s="85" t="n"/>
      <c r="J28" s="85" t="n"/>
      <c r="K28" s="85" t="n"/>
      <c r="L28" s="85" t="n"/>
      <c r="M28" s="85" t="n"/>
      <c r="N28" s="85" t="n"/>
    </row>
    <row r="29" s="3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85" t="n"/>
      <c r="J29" s="85" t="n"/>
      <c r="K29" s="85" t="n"/>
      <c r="L29" s="85" t="n"/>
      <c r="M29" s="85" t="n"/>
      <c r="N29" s="85" t="n"/>
    </row>
    <row r="30" s="31">
      <c r="A30" s="57" t="n"/>
      <c r="B30" s="57" t="n"/>
      <c r="C30" s="57" t="n"/>
      <c r="D30" s="57" t="n"/>
      <c r="E30" s="57" t="n"/>
      <c r="F30" s="57" t="n"/>
      <c r="G30" s="57" t="n"/>
      <c r="H30" s="57" t="n"/>
      <c r="I30" s="85" t="n"/>
      <c r="J30" s="85" t="n"/>
      <c r="K30" s="85" t="n"/>
      <c r="L30" s="85" t="n"/>
      <c r="M30" s="85" t="n"/>
      <c r="N30" s="85" t="n"/>
    </row>
    <row r="31" s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85" t="n"/>
      <c r="J31" s="85" t="n"/>
      <c r="K31" s="85" t="n"/>
      <c r="L31" s="85" t="n"/>
      <c r="M31" s="85" t="n"/>
      <c r="N31" s="85" t="n"/>
    </row>
    <row r="32" s="31">
      <c r="A32" s="57" t="n"/>
      <c r="B32" s="57" t="n"/>
      <c r="C32" s="57" t="n"/>
      <c r="D32" s="57" t="n"/>
      <c r="E32" s="57" t="n"/>
      <c r="F32" s="57" t="n"/>
      <c r="G32" s="57" t="n"/>
      <c r="H32" s="57" t="n"/>
      <c r="I32" s="85" t="n"/>
      <c r="J32" s="85" t="n"/>
      <c r="K32" s="85" t="n"/>
      <c r="L32" s="85" t="n"/>
      <c r="M32" s="85" t="n"/>
      <c r="N32" s="85" t="n"/>
    </row>
    <row r="33" s="3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85" t="n"/>
      <c r="J33" s="85" t="n"/>
      <c r="K33" s="85" t="n"/>
      <c r="L33" s="85" t="n"/>
      <c r="M33" s="85" t="n"/>
      <c r="N33" s="85" t="n"/>
    </row>
    <row r="34" s="31">
      <c r="A34" s="57" t="n"/>
      <c r="B34" s="57" t="n"/>
      <c r="C34" s="57" t="n"/>
      <c r="D34" s="57" t="n"/>
      <c r="E34" s="57" t="n"/>
      <c r="F34" s="57" t="n"/>
      <c r="G34" s="57" t="n"/>
      <c r="H34" s="57" t="n"/>
      <c r="I34" s="85" t="n"/>
      <c r="J34" s="85" t="n"/>
      <c r="K34" s="85" t="n"/>
      <c r="L34" s="85" t="n"/>
      <c r="M34" s="85" t="n"/>
      <c r="N34" s="85" t="n"/>
    </row>
    <row r="35" s="3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85" t="n"/>
      <c r="J35" s="85" t="n"/>
      <c r="K35" s="85" t="n"/>
      <c r="L35" s="85" t="n"/>
      <c r="M35" s="85" t="n"/>
      <c r="N35" s="85" t="n"/>
    </row>
    <row r="36" s="3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85" t="n"/>
      <c r="J36" s="85" t="n"/>
      <c r="K36" s="85" t="n"/>
      <c r="L36" s="85" t="n"/>
      <c r="M36" s="85" t="n"/>
      <c r="N36" s="85" t="n"/>
    </row>
    <row r="37" s="3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85" t="n"/>
      <c r="J37" s="85" t="n"/>
      <c r="K37" s="85" t="n"/>
      <c r="L37" s="85" t="n"/>
      <c r="M37" s="85" t="n"/>
      <c r="N37" s="85" t="n"/>
    </row>
    <row r="38" s="31">
      <c r="A38" s="57" t="n"/>
      <c r="B38" s="57" t="n"/>
      <c r="C38" s="57" t="n"/>
      <c r="D38" s="57" t="n"/>
      <c r="E38" s="57" t="n"/>
      <c r="F38" s="57" t="n"/>
      <c r="G38" s="57" t="n"/>
      <c r="H38" s="57" t="n"/>
      <c r="I38" s="85" t="n"/>
      <c r="J38" s="85" t="n"/>
      <c r="K38" s="85" t="n"/>
      <c r="L38" s="85" t="n"/>
      <c r="M38" s="85" t="n"/>
      <c r="N38" s="85" t="n"/>
    </row>
    <row r="39" s="3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85" t="n"/>
      <c r="J39" s="85" t="n"/>
      <c r="K39" s="85" t="n"/>
      <c r="L39" s="85" t="n"/>
      <c r="M39" s="85" t="n"/>
      <c r="N39" s="85" t="n"/>
    </row>
    <row r="40" s="31">
      <c r="A40" s="57" t="n"/>
      <c r="B40" s="57" t="n"/>
      <c r="C40" s="57" t="n"/>
      <c r="D40" s="57" t="n"/>
      <c r="E40" s="57" t="n"/>
      <c r="F40" s="57" t="n"/>
      <c r="G40" s="57" t="n"/>
      <c r="H40" s="57" t="n"/>
      <c r="I40" s="85" t="n"/>
      <c r="J40" s="85" t="n"/>
      <c r="K40" s="85" t="n"/>
      <c r="L40" s="85" t="n"/>
      <c r="M40" s="85" t="n"/>
      <c r="N40" s="85" t="n"/>
    </row>
    <row r="41" s="3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85" t="n"/>
      <c r="J41" s="85" t="n"/>
      <c r="K41" s="85" t="n"/>
      <c r="L41" s="85" t="n"/>
      <c r="M41" s="85" t="n"/>
      <c r="N41" s="85" t="n"/>
    </row>
    <row r="42" s="31">
      <c r="A42" s="57" t="n"/>
      <c r="B42" s="57" t="n"/>
      <c r="C42" s="57" t="n"/>
      <c r="D42" s="57" t="n"/>
      <c r="E42" s="57" t="n"/>
      <c r="F42" s="57" t="n"/>
      <c r="G42" s="57" t="n"/>
      <c r="H42" s="57" t="n"/>
      <c r="I42" s="85" t="n"/>
      <c r="J42" s="85" t="n"/>
      <c r="K42" s="85" t="n"/>
      <c r="L42" s="85" t="n"/>
      <c r="M42" s="85" t="n"/>
      <c r="N42" s="85" t="n"/>
    </row>
    <row r="43" s="3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85" t="n"/>
      <c r="J43" s="85" t="n"/>
      <c r="K43" s="85" t="n"/>
      <c r="L43" s="85" t="n"/>
      <c r="M43" s="85" t="n"/>
      <c r="N43" s="85" t="n"/>
    </row>
    <row r="44" s="31">
      <c r="A44" s="57" t="n"/>
      <c r="B44" s="57" t="n"/>
      <c r="C44" s="57" t="n"/>
      <c r="D44" s="57" t="n"/>
      <c r="E44" s="57" t="n"/>
      <c r="F44" s="57" t="n"/>
      <c r="G44" s="57" t="n"/>
      <c r="H44" s="57" t="n"/>
      <c r="I44" s="85" t="n"/>
      <c r="J44" s="85" t="n"/>
      <c r="K44" s="85" t="n"/>
      <c r="L44" s="85" t="n"/>
      <c r="M44" s="85" t="n"/>
      <c r="N44" s="85" t="n"/>
    </row>
    <row r="45" s="3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85" t="n"/>
      <c r="J45" s="85" t="n"/>
      <c r="K45" s="85" t="n"/>
      <c r="L45" s="85" t="n"/>
      <c r="M45" s="85" t="n"/>
      <c r="N45" s="85" t="n"/>
    </row>
    <row r="46" s="31">
      <c r="A46" s="57" t="n"/>
      <c r="B46" s="57" t="n"/>
      <c r="C46" s="57" t="n"/>
      <c r="D46" s="57" t="n"/>
      <c r="E46" s="57" t="n"/>
      <c r="F46" s="57" t="n"/>
      <c r="G46" s="57" t="n"/>
      <c r="H46" s="57" t="n"/>
      <c r="I46" s="85" t="n"/>
      <c r="J46" s="85" t="n"/>
      <c r="K46" s="85" t="n"/>
      <c r="L46" s="85" t="n"/>
      <c r="M46" s="85" t="n"/>
      <c r="N46" s="85" t="n"/>
    </row>
    <row r="47" s="3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85" t="n"/>
      <c r="J47" s="85" t="n"/>
      <c r="K47" s="85" t="n"/>
      <c r="L47" s="85" t="n"/>
      <c r="M47" s="85" t="n"/>
      <c r="N47" s="85" t="n"/>
    </row>
    <row r="48" s="31">
      <c r="A48" s="57" t="n"/>
      <c r="B48" s="57" t="n"/>
      <c r="C48" s="57" t="n"/>
      <c r="D48" s="57" t="n"/>
      <c r="E48" s="57" t="n"/>
      <c r="F48" s="57" t="n"/>
      <c r="G48" s="57" t="n"/>
      <c r="H48" s="57" t="n"/>
      <c r="I48" s="85" t="n"/>
      <c r="J48" s="85" t="n"/>
      <c r="K48" s="85" t="n"/>
      <c r="L48" s="85" t="n"/>
      <c r="M48" s="85" t="n"/>
      <c r="N48" s="85" t="n"/>
    </row>
    <row r="49" s="3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85" t="n"/>
      <c r="J49" s="85" t="n"/>
      <c r="K49" s="85" t="n"/>
      <c r="L49" s="85" t="n"/>
      <c r="M49" s="85" t="n"/>
      <c r="N49" s="85" t="n"/>
    </row>
    <row r="50" s="31">
      <c r="A50" s="57" t="n"/>
      <c r="B50" s="57" t="n"/>
      <c r="C50" s="57" t="n"/>
      <c r="D50" s="57" t="n"/>
      <c r="E50" s="57" t="n"/>
      <c r="F50" s="57" t="n"/>
      <c r="G50" s="57" t="n"/>
      <c r="H50" s="57" t="n"/>
      <c r="I50" s="85" t="n"/>
      <c r="J50" s="85" t="n"/>
      <c r="K50" s="85" t="n"/>
      <c r="L50" s="85" t="n"/>
      <c r="M50" s="85" t="n"/>
      <c r="N50" s="85" t="n"/>
    </row>
    <row r="51" s="3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85" t="n"/>
      <c r="J51" s="85" t="n"/>
      <c r="K51" s="85" t="n"/>
      <c r="L51" s="85" t="n"/>
      <c r="M51" s="85" t="n"/>
      <c r="N51" s="85" t="n"/>
    </row>
    <row r="52" s="31">
      <c r="A52" s="57" t="n"/>
      <c r="B52" s="57" t="n"/>
      <c r="C52" s="57" t="n"/>
      <c r="D52" s="57" t="n"/>
      <c r="E52" s="57" t="n"/>
      <c r="F52" s="57" t="n"/>
      <c r="G52" s="57" t="n"/>
      <c r="H52" s="57" t="n"/>
      <c r="I52" s="85" t="n"/>
      <c r="J52" s="85" t="n"/>
      <c r="K52" s="85" t="n"/>
      <c r="L52" s="85" t="n"/>
      <c r="M52" s="85" t="n"/>
      <c r="N52" s="85" t="n"/>
    </row>
    <row r="53" s="31">
      <c r="A53" s="57" t="n"/>
      <c r="B53" s="57" t="n"/>
      <c r="C53" s="57" t="n"/>
      <c r="D53" s="57" t="n"/>
      <c r="E53" s="57" t="n"/>
      <c r="F53" s="57" t="n"/>
      <c r="G53" s="57" t="n"/>
      <c r="H53" s="57" t="n"/>
      <c r="I53" s="85" t="n"/>
      <c r="J53" s="85" t="n"/>
      <c r="K53" s="85" t="n"/>
      <c r="L53" s="85" t="n"/>
      <c r="M53" s="85" t="n"/>
      <c r="N53" s="85" t="n"/>
    </row>
    <row r="54" s="31">
      <c r="A54" s="57" t="n"/>
      <c r="B54" s="57" t="n"/>
      <c r="C54" s="57" t="n"/>
      <c r="D54" s="57" t="n"/>
      <c r="E54" s="57" t="n"/>
      <c r="F54" s="57" t="n"/>
      <c r="G54" s="57" t="n"/>
      <c r="H54" s="57" t="n"/>
      <c r="I54" s="85" t="n"/>
      <c r="J54" s="85" t="n"/>
      <c r="K54" s="85" t="n"/>
      <c r="L54" s="85" t="n"/>
      <c r="M54" s="85" t="n"/>
      <c r="N54" s="85" t="n"/>
    </row>
    <row r="55" s="31">
      <c r="A55" s="57" t="n"/>
      <c r="B55" s="57" t="n"/>
      <c r="C55" s="57" t="n"/>
      <c r="D55" s="57" t="n"/>
      <c r="E55" s="57" t="n"/>
      <c r="F55" s="57" t="n"/>
      <c r="G55" s="57" t="n"/>
      <c r="H55" s="57" t="n"/>
      <c r="I55" s="85" t="n"/>
      <c r="J55" s="85" t="n"/>
      <c r="K55" s="85" t="n"/>
      <c r="L55" s="85" t="n"/>
      <c r="M55" s="85" t="n"/>
      <c r="N55" s="85" t="n"/>
    </row>
    <row r="56" s="31">
      <c r="A56" s="57" t="n"/>
      <c r="B56" s="57" t="n"/>
      <c r="C56" s="57" t="n"/>
      <c r="D56" s="57" t="n"/>
      <c r="E56" s="57" t="n"/>
      <c r="F56" s="57" t="n"/>
      <c r="G56" s="57" t="n"/>
      <c r="H56" s="57" t="n"/>
      <c r="I56" s="85" t="n"/>
      <c r="J56" s="85" t="n"/>
      <c r="K56" s="85" t="n"/>
      <c r="L56" s="85" t="n"/>
      <c r="M56" s="85" t="n"/>
      <c r="N56" s="85" t="n"/>
    </row>
    <row r="57" s="31">
      <c r="A57" s="57" t="n"/>
      <c r="B57" s="57" t="n"/>
      <c r="C57" s="57" t="n"/>
      <c r="D57" s="57" t="n"/>
      <c r="E57" s="57" t="n"/>
      <c r="F57" s="57" t="n"/>
      <c r="G57" s="57" t="n"/>
      <c r="H57" s="57" t="n"/>
      <c r="I57" s="85" t="n"/>
      <c r="J57" s="85" t="n"/>
      <c r="K57" s="85" t="n"/>
      <c r="L57" s="85" t="n"/>
      <c r="M57" s="85" t="n"/>
      <c r="N57" s="85" t="n"/>
    </row>
    <row r="58" s="31">
      <c r="A58" s="57" t="n"/>
      <c r="B58" s="57" t="n"/>
      <c r="C58" s="57" t="n"/>
      <c r="D58" s="57" t="n"/>
      <c r="E58" s="57" t="n"/>
      <c r="F58" s="57" t="n"/>
      <c r="G58" s="57" t="n"/>
      <c r="H58" s="57" t="n"/>
      <c r="I58" s="85" t="n"/>
      <c r="J58" s="85" t="n"/>
      <c r="K58" s="85" t="n"/>
      <c r="L58" s="85" t="n"/>
      <c r="M58" s="85" t="n"/>
      <c r="N58" s="85" t="n"/>
    </row>
    <row r="59" s="31">
      <c r="A59" s="57" t="n"/>
      <c r="B59" s="57" t="n"/>
      <c r="C59" s="57" t="n"/>
      <c r="D59" s="57" t="n"/>
      <c r="E59" s="57" t="n"/>
      <c r="F59" s="57" t="n"/>
      <c r="G59" s="57" t="n"/>
      <c r="H59" s="57" t="n"/>
      <c r="I59" s="85" t="n"/>
      <c r="J59" s="85" t="n"/>
      <c r="K59" s="85" t="n"/>
      <c r="L59" s="85" t="n"/>
      <c r="M59" s="85" t="n"/>
      <c r="N59" s="85" t="n"/>
    </row>
    <row r="60" s="31">
      <c r="A60" s="57" t="n"/>
      <c r="B60" s="57" t="n"/>
      <c r="C60" s="57" t="n"/>
      <c r="D60" s="57" t="n"/>
      <c r="E60" s="57" t="n"/>
      <c r="F60" s="57" t="n"/>
      <c r="G60" s="57" t="n"/>
      <c r="H60" s="57" t="n"/>
      <c r="I60" s="85" t="n"/>
      <c r="J60" s="85" t="n"/>
      <c r="K60" s="85" t="n"/>
      <c r="L60" s="85" t="n"/>
      <c r="M60" s="85" t="n"/>
      <c r="N60" s="85" t="n"/>
    </row>
    <row r="61" s="3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85" t="n"/>
      <c r="J61" s="85" t="n"/>
      <c r="K61" s="85" t="n"/>
      <c r="L61" s="85" t="n"/>
      <c r="M61" s="85" t="n"/>
      <c r="N61" s="85" t="n"/>
    </row>
    <row r="62" s="31">
      <c r="A62" s="57" t="n"/>
      <c r="B62" s="57" t="n"/>
      <c r="C62" s="57" t="n"/>
      <c r="D62" s="57" t="n"/>
      <c r="E62" s="57" t="n"/>
      <c r="F62" s="57" t="n"/>
      <c r="G62" s="57" t="n"/>
      <c r="H62" s="57" t="n"/>
      <c r="I62" s="85" t="n"/>
      <c r="J62" s="85" t="n"/>
      <c r="K62" s="85" t="n"/>
      <c r="L62" s="85" t="n"/>
      <c r="M62" s="85" t="n"/>
      <c r="N62" s="85" t="n"/>
    </row>
    <row r="63" s="31">
      <c r="A63" s="57" t="n"/>
      <c r="B63" s="57" t="n"/>
      <c r="C63" s="57" t="n"/>
      <c r="D63" s="57" t="n"/>
      <c r="E63" s="57" t="n"/>
      <c r="F63" s="57" t="n"/>
      <c r="G63" s="57" t="n"/>
      <c r="H63" s="57" t="n"/>
      <c r="I63" s="85" t="n"/>
      <c r="J63" s="85" t="n"/>
      <c r="K63" s="85" t="n"/>
      <c r="L63" s="85" t="n"/>
      <c r="M63" s="85" t="n"/>
      <c r="N63" s="85" t="n"/>
    </row>
    <row r="64" s="31">
      <c r="A64" s="57" t="n"/>
      <c r="B64" s="57" t="n"/>
      <c r="C64" s="57" t="n"/>
      <c r="D64" s="57" t="n"/>
      <c r="E64" s="57" t="n"/>
      <c r="F64" s="57" t="n"/>
      <c r="G64" s="57" t="n"/>
      <c r="H64" s="57" t="n"/>
      <c r="I64" s="85" t="n"/>
      <c r="J64" s="85" t="n"/>
      <c r="K64" s="85" t="n"/>
      <c r="L64" s="85" t="n"/>
      <c r="M64" s="85" t="n"/>
      <c r="N64" s="85" t="n"/>
    </row>
    <row r="65" s="31">
      <c r="A65" s="57" t="n"/>
      <c r="B65" s="57" t="n"/>
      <c r="C65" s="57" t="n"/>
      <c r="D65" s="57" t="n"/>
      <c r="E65" s="57" t="n"/>
      <c r="F65" s="57" t="n"/>
      <c r="G65" s="57" t="n"/>
      <c r="H65" s="57" t="n"/>
      <c r="I65" s="85" t="n"/>
      <c r="J65" s="85" t="n"/>
      <c r="K65" s="85" t="n"/>
      <c r="L65" s="85" t="n"/>
      <c r="M65" s="85" t="n"/>
      <c r="N65" s="85" t="n"/>
    </row>
    <row r="66" s="31">
      <c r="A66" s="57" t="n"/>
      <c r="B66" s="57" t="n"/>
      <c r="C66" s="57" t="n"/>
      <c r="D66" s="57" t="n"/>
      <c r="E66" s="57" t="n"/>
      <c r="F66" s="57" t="n"/>
      <c r="G66" s="57" t="n"/>
      <c r="H66" s="57" t="n"/>
      <c r="I66" s="85" t="n"/>
      <c r="J66" s="85" t="n"/>
      <c r="K66" s="85" t="n"/>
      <c r="L66" s="85" t="n"/>
      <c r="M66" s="85" t="n"/>
      <c r="N66" s="85" t="n"/>
    </row>
    <row r="67" s="31">
      <c r="A67" s="57" t="n"/>
      <c r="B67" s="57" t="n"/>
      <c r="C67" s="57" t="n"/>
      <c r="D67" s="57" t="n"/>
      <c r="E67" s="57" t="n"/>
      <c r="F67" s="57" t="n"/>
      <c r="G67" s="57" t="n"/>
      <c r="H67" s="57" t="n"/>
      <c r="I67" s="85" t="n"/>
      <c r="J67" s="85" t="n"/>
      <c r="K67" s="85" t="n"/>
      <c r="L67" s="85" t="n"/>
      <c r="M67" s="85" t="n"/>
      <c r="N67" s="85" t="n"/>
    </row>
    <row r="68" s="31">
      <c r="A68" s="57" t="n"/>
      <c r="B68" s="57" t="n"/>
      <c r="C68" s="57" t="n"/>
      <c r="D68" s="57" t="n"/>
      <c r="E68" s="57" t="n"/>
      <c r="F68" s="57" t="n"/>
      <c r="G68" s="57" t="n"/>
      <c r="H68" s="57" t="n"/>
      <c r="I68" s="85" t="n"/>
      <c r="J68" s="85" t="n"/>
      <c r="K68" s="85" t="n"/>
      <c r="L68" s="85" t="n"/>
      <c r="M68" s="85" t="n"/>
      <c r="N68" s="85" t="n"/>
    </row>
    <row r="69" s="31">
      <c r="A69" s="57" t="n"/>
      <c r="B69" s="57" t="n"/>
      <c r="C69" s="57" t="n"/>
      <c r="D69" s="57" t="n"/>
      <c r="E69" s="57" t="n"/>
      <c r="F69" s="57" t="n"/>
      <c r="G69" s="57" t="n"/>
      <c r="H69" s="57" t="n"/>
      <c r="I69" s="85" t="n"/>
      <c r="J69" s="85" t="n"/>
      <c r="K69" s="85" t="n"/>
      <c r="L69" s="85" t="n"/>
      <c r="M69" s="85" t="n"/>
      <c r="N69" s="85" t="n"/>
    </row>
    <row r="70" s="31">
      <c r="A70" s="57" t="n"/>
      <c r="B70" s="57" t="n"/>
      <c r="C70" s="57" t="n"/>
      <c r="D70" s="57" t="n"/>
      <c r="E70" s="57" t="n"/>
      <c r="F70" s="57" t="n"/>
      <c r="G70" s="57" t="n"/>
      <c r="H70" s="57" t="n"/>
      <c r="I70" s="85" t="n"/>
      <c r="J70" s="85" t="n"/>
      <c r="K70" s="85" t="n"/>
      <c r="L70" s="85" t="n"/>
      <c r="M70" s="85" t="n"/>
      <c r="N70" s="85" t="n"/>
    </row>
    <row r="71" s="3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85" t="n"/>
      <c r="J71" s="85" t="n"/>
      <c r="K71" s="85" t="n"/>
      <c r="L71" s="85" t="n"/>
      <c r="M71" s="85" t="n"/>
      <c r="N71" s="85" t="n"/>
    </row>
    <row r="72" s="31">
      <c r="A72" s="57" t="n"/>
      <c r="B72" s="57" t="n"/>
      <c r="C72" s="57" t="n"/>
      <c r="D72" s="57" t="n"/>
      <c r="E72" s="57" t="n"/>
      <c r="F72" s="57" t="n"/>
      <c r="G72" s="57" t="n"/>
      <c r="H72" s="57" t="n"/>
      <c r="I72" s="85" t="n"/>
      <c r="J72" s="85" t="n"/>
      <c r="K72" s="85" t="n"/>
      <c r="L72" s="85" t="n"/>
      <c r="M72" s="85" t="n"/>
      <c r="N72" s="85" t="n"/>
    </row>
    <row r="73" s="31">
      <c r="A73" s="57" t="n"/>
      <c r="B73" s="57" t="n"/>
      <c r="C73" s="57" t="n"/>
      <c r="D73" s="57" t="n"/>
      <c r="E73" s="57" t="n"/>
      <c r="F73" s="57" t="n"/>
      <c r="G73" s="57" t="n"/>
      <c r="H73" s="57" t="n"/>
      <c r="I73" s="85" t="n"/>
      <c r="J73" s="85" t="n"/>
      <c r="K73" s="85" t="n"/>
      <c r="L73" s="85" t="n"/>
      <c r="M73" s="85" t="n"/>
      <c r="N73" s="85" t="n"/>
    </row>
    <row r="74" s="31">
      <c r="A74" s="57" t="n"/>
      <c r="B74" s="57" t="n"/>
      <c r="C74" s="57" t="n"/>
      <c r="D74" s="57" t="n"/>
      <c r="E74" s="57" t="n"/>
      <c r="F74" s="57" t="n"/>
      <c r="G74" s="57" t="n"/>
      <c r="H74" s="57" t="n"/>
      <c r="I74" s="85" t="n"/>
      <c r="J74" s="85" t="n"/>
      <c r="K74" s="85" t="n"/>
      <c r="L74" s="85" t="n"/>
      <c r="M74" s="85" t="n"/>
      <c r="N74" s="85" t="n"/>
    </row>
    <row r="75" s="31">
      <c r="A75" s="57" t="n"/>
      <c r="B75" s="57" t="n"/>
      <c r="C75" s="57" t="n"/>
      <c r="D75" s="57" t="n"/>
      <c r="E75" s="57" t="n"/>
      <c r="F75" s="57" t="n"/>
      <c r="G75" s="57" t="n"/>
      <c r="H75" s="57" t="n"/>
      <c r="I75" s="85" t="n"/>
      <c r="J75" s="85" t="n"/>
      <c r="K75" s="85" t="n"/>
      <c r="L75" s="85" t="n"/>
      <c r="M75" s="85" t="n"/>
      <c r="N75" s="85" t="n"/>
    </row>
    <row r="76" s="31">
      <c r="A76" s="57" t="n"/>
      <c r="B76" s="57" t="n"/>
      <c r="C76" s="57" t="n"/>
      <c r="D76" s="57" t="n"/>
      <c r="E76" s="57" t="n"/>
      <c r="F76" s="57" t="n"/>
      <c r="G76" s="57" t="n"/>
      <c r="H76" s="57" t="n"/>
      <c r="I76" s="85" t="n"/>
      <c r="J76" s="85" t="n"/>
      <c r="K76" s="85" t="n"/>
      <c r="L76" s="85" t="n"/>
      <c r="M76" s="85" t="n"/>
      <c r="N76" s="85" t="n"/>
    </row>
    <row r="77" s="31">
      <c r="A77" s="57" t="n"/>
      <c r="B77" s="57" t="n"/>
      <c r="C77" s="57" t="n"/>
      <c r="D77" s="57" t="n"/>
      <c r="E77" s="57" t="n"/>
      <c r="F77" s="57" t="n"/>
      <c r="G77" s="57" t="n"/>
      <c r="H77" s="57" t="n"/>
      <c r="I77" s="85" t="n"/>
      <c r="J77" s="85" t="n"/>
      <c r="K77" s="85" t="n"/>
      <c r="L77" s="85" t="n"/>
      <c r="M77" s="85" t="n"/>
      <c r="N77" s="85" t="n"/>
    </row>
    <row r="78" s="31">
      <c r="A78" s="57" t="n"/>
      <c r="B78" s="57" t="n"/>
      <c r="C78" s="57" t="n"/>
      <c r="D78" s="57" t="n"/>
      <c r="E78" s="57" t="n"/>
      <c r="F78" s="57" t="n"/>
      <c r="G78" s="57" t="n"/>
      <c r="H78" s="57" t="n"/>
      <c r="I78" s="85" t="n"/>
      <c r="J78" s="85" t="n"/>
      <c r="K78" s="85" t="n"/>
      <c r="L78" s="85" t="n"/>
      <c r="M78" s="85" t="n"/>
      <c r="N78" s="85" t="n"/>
    </row>
    <row r="79" s="31">
      <c r="A79" s="57" t="n"/>
      <c r="B79" s="57" t="n"/>
      <c r="C79" s="57" t="n"/>
      <c r="D79" s="57" t="n"/>
      <c r="E79" s="57" t="n"/>
      <c r="F79" s="57" t="n"/>
      <c r="G79" s="57" t="n"/>
      <c r="H79" s="57" t="n"/>
      <c r="I79" s="85" t="n"/>
      <c r="J79" s="85" t="n"/>
      <c r="K79" s="85" t="n"/>
      <c r="L79" s="85" t="n"/>
      <c r="M79" s="85" t="n"/>
      <c r="N79" s="85" t="n"/>
    </row>
    <row r="80" s="31">
      <c r="A80" s="57" t="n"/>
      <c r="B80" s="57" t="n"/>
      <c r="C80" s="57" t="n"/>
      <c r="D80" s="57" t="n"/>
      <c r="E80" s="57" t="n"/>
      <c r="F80" s="57" t="n"/>
      <c r="G80" s="57" t="n"/>
      <c r="H80" s="57" t="n"/>
      <c r="I80" s="85" t="n"/>
      <c r="J80" s="85" t="n"/>
      <c r="K80" s="85" t="n"/>
      <c r="L80" s="85" t="n"/>
      <c r="M80" s="85" t="n"/>
      <c r="N80" s="85" t="n"/>
    </row>
    <row r="81" s="3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85" t="n"/>
      <c r="J81" s="85" t="n"/>
      <c r="K81" s="85" t="n"/>
      <c r="L81" s="85" t="n"/>
      <c r="M81" s="85" t="n"/>
      <c r="N81" s="85" t="n"/>
    </row>
    <row r="82" s="31">
      <c r="A82" s="57" t="n"/>
      <c r="B82" s="57" t="n"/>
      <c r="C82" s="57" t="n"/>
      <c r="D82" s="57" t="n"/>
      <c r="E82" s="57" t="n"/>
      <c r="F82" s="57" t="n"/>
      <c r="G82" s="57" t="n"/>
      <c r="H82" s="57" t="n"/>
      <c r="I82" s="85" t="n"/>
      <c r="J82" s="85" t="n"/>
      <c r="K82" s="85" t="n"/>
      <c r="L82" s="85" t="n"/>
      <c r="M82" s="85" t="n"/>
      <c r="N82" s="85" t="n"/>
    </row>
    <row r="83" s="31">
      <c r="A83" s="57" t="n"/>
      <c r="B83" s="57" t="n"/>
      <c r="C83" s="57" t="n"/>
      <c r="D83" s="57" t="n"/>
      <c r="E83" s="57" t="n"/>
      <c r="F83" s="57" t="n"/>
      <c r="G83" s="57" t="n"/>
      <c r="H83" s="57" t="n"/>
      <c r="I83" s="85" t="n"/>
      <c r="J83" s="85" t="n"/>
      <c r="K83" s="85" t="n"/>
      <c r="L83" s="85" t="n"/>
      <c r="M83" s="85" t="n"/>
      <c r="N83" s="85" t="n"/>
    </row>
    <row r="84" s="31">
      <c r="A84" s="57" t="n"/>
      <c r="B84" s="57" t="n"/>
      <c r="C84" s="57" t="n"/>
      <c r="D84" s="57" t="n"/>
      <c r="E84" s="57" t="n"/>
      <c r="F84" s="57" t="n"/>
      <c r="G84" s="57" t="n"/>
      <c r="H84" s="57" t="n"/>
      <c r="I84" s="85" t="n"/>
      <c r="J84" s="85" t="n"/>
      <c r="K84" s="85" t="n"/>
      <c r="L84" s="85" t="n"/>
      <c r="M84" s="85" t="n"/>
      <c r="N84" s="85" t="n"/>
    </row>
    <row r="85" s="31">
      <c r="A85" s="57" t="n"/>
      <c r="B85" s="57" t="n"/>
      <c r="C85" s="57" t="n"/>
      <c r="D85" s="57" t="n"/>
      <c r="E85" s="57" t="n"/>
      <c r="F85" s="57" t="n"/>
      <c r="G85" s="57" t="n"/>
      <c r="H85" s="57" t="n"/>
      <c r="I85" s="85" t="n"/>
      <c r="J85" s="85" t="n"/>
      <c r="K85" s="85" t="n"/>
      <c r="L85" s="85" t="n"/>
      <c r="M85" s="85" t="n"/>
      <c r="N85" s="85" t="n"/>
    </row>
    <row r="86" s="31">
      <c r="A86" s="57" t="n"/>
      <c r="B86" s="57" t="n"/>
      <c r="C86" s="57" t="n"/>
      <c r="D86" s="57" t="n"/>
      <c r="E86" s="57" t="n"/>
      <c r="F86" s="57" t="n"/>
      <c r="G86" s="57" t="n"/>
      <c r="H86" s="57" t="n"/>
      <c r="I86" s="85" t="n"/>
      <c r="J86" s="85" t="n"/>
      <c r="K86" s="85" t="n"/>
      <c r="L86" s="85" t="n"/>
      <c r="M86" s="85" t="n"/>
      <c r="N86" s="85" t="n"/>
    </row>
    <row r="87" s="31">
      <c r="A87" s="57" t="n"/>
      <c r="B87" s="57" t="n"/>
      <c r="C87" s="57" t="n"/>
      <c r="D87" s="57" t="n"/>
      <c r="E87" s="57" t="n"/>
      <c r="F87" s="57" t="n"/>
      <c r="G87" s="57" t="n"/>
      <c r="H87" s="57" t="n"/>
      <c r="I87" s="85" t="n"/>
      <c r="J87" s="85" t="n"/>
      <c r="K87" s="85" t="n"/>
      <c r="L87" s="85" t="n"/>
      <c r="M87" s="85" t="n"/>
      <c r="N87" s="85" t="n"/>
    </row>
    <row r="88" s="31">
      <c r="A88" s="57" t="n"/>
      <c r="B88" s="57" t="n"/>
      <c r="C88" s="57" t="n"/>
      <c r="D88" s="57" t="n"/>
      <c r="E88" s="57" t="n"/>
      <c r="F88" s="57" t="n"/>
      <c r="G88" s="57" t="n"/>
      <c r="H88" s="57" t="n"/>
      <c r="I88" s="85" t="n"/>
      <c r="J88" s="85" t="n"/>
      <c r="K88" s="85" t="n"/>
      <c r="L88" s="85" t="n"/>
      <c r="M88" s="85" t="n"/>
      <c r="N88" s="85" t="n"/>
    </row>
    <row r="89" s="31">
      <c r="A89" s="57" t="n"/>
      <c r="B89" s="57" t="n"/>
      <c r="C89" s="57" t="n"/>
      <c r="D89" s="57" t="n"/>
      <c r="E89" s="57" t="n"/>
      <c r="F89" s="57" t="n"/>
      <c r="G89" s="57" t="n"/>
      <c r="H89" s="57" t="n"/>
      <c r="I89" s="85" t="n"/>
      <c r="J89" s="85" t="n"/>
      <c r="K89" s="85" t="n"/>
      <c r="L89" s="85" t="n"/>
      <c r="M89" s="85" t="n"/>
      <c r="N89" s="85" t="n"/>
    </row>
    <row r="90" s="31">
      <c r="A90" s="57" t="n"/>
      <c r="B90" s="57" t="n"/>
      <c r="C90" s="57" t="n"/>
      <c r="D90" s="57" t="n"/>
      <c r="E90" s="57" t="n"/>
      <c r="F90" s="57" t="n"/>
      <c r="G90" s="57" t="n"/>
      <c r="H90" s="57" t="n"/>
      <c r="I90" s="85" t="n"/>
      <c r="J90" s="85" t="n"/>
      <c r="K90" s="85" t="n"/>
      <c r="L90" s="85" t="n"/>
      <c r="M90" s="85" t="n"/>
      <c r="N90" s="85" t="n"/>
    </row>
    <row r="91" s="3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85" t="n"/>
      <c r="J91" s="85" t="n"/>
      <c r="K91" s="85" t="n"/>
      <c r="L91" s="85" t="n"/>
      <c r="M91" s="85" t="n"/>
      <c r="N91" s="85" t="n"/>
    </row>
    <row r="92" s="31">
      <c r="A92" s="57" t="n"/>
      <c r="B92" s="57" t="n"/>
      <c r="C92" s="57" t="n"/>
      <c r="D92" s="57" t="n"/>
      <c r="E92" s="57" t="n"/>
      <c r="F92" s="57" t="n"/>
      <c r="G92" s="57" t="n"/>
      <c r="H92" s="57" t="n"/>
      <c r="I92" s="85" t="n"/>
      <c r="J92" s="85" t="n"/>
      <c r="K92" s="85" t="n"/>
      <c r="L92" s="85" t="n"/>
      <c r="M92" s="85" t="n"/>
      <c r="N92" s="85" t="n"/>
    </row>
    <row r="93" s="31">
      <c r="A93" s="57" t="n"/>
      <c r="B93" s="57" t="n"/>
      <c r="C93" s="57" t="n"/>
      <c r="D93" s="57" t="n"/>
      <c r="E93" s="57" t="n"/>
      <c r="F93" s="57" t="n"/>
      <c r="G93" s="57" t="n"/>
      <c r="H93" s="57" t="n"/>
      <c r="I93" s="85" t="n"/>
      <c r="J93" s="85" t="n"/>
      <c r="K93" s="85" t="n"/>
      <c r="L93" s="85" t="n"/>
      <c r="M93" s="85" t="n"/>
      <c r="N93" s="85" t="n"/>
    </row>
    <row r="94" s="31">
      <c r="A94" s="57" t="n"/>
      <c r="B94" s="57" t="n"/>
      <c r="C94" s="57" t="n"/>
      <c r="D94" s="57" t="n"/>
      <c r="E94" s="57" t="n"/>
      <c r="F94" s="57" t="n"/>
      <c r="G94" s="57" t="n"/>
      <c r="H94" s="57" t="n"/>
      <c r="I94" s="85" t="n"/>
      <c r="J94" s="85" t="n"/>
      <c r="K94" s="85" t="n"/>
      <c r="L94" s="85" t="n"/>
      <c r="M94" s="85" t="n"/>
      <c r="N94" s="85" t="n"/>
    </row>
    <row r="95" s="31">
      <c r="A95" s="57" t="n"/>
      <c r="B95" s="57" t="n"/>
      <c r="C95" s="57" t="n"/>
      <c r="D95" s="57" t="n"/>
      <c r="E95" s="57" t="n"/>
      <c r="F95" s="57" t="n"/>
      <c r="G95" s="57" t="n"/>
      <c r="H95" s="57" t="n"/>
      <c r="I95" s="85" t="n"/>
      <c r="J95" s="85" t="n"/>
      <c r="K95" s="85" t="n"/>
      <c r="L95" s="85" t="n"/>
      <c r="M95" s="85" t="n"/>
      <c r="N95" s="85" t="n"/>
    </row>
    <row r="96" s="31">
      <c r="A96" s="57" t="n"/>
      <c r="B96" s="57" t="n"/>
      <c r="C96" s="57" t="n"/>
      <c r="D96" s="57" t="n"/>
      <c r="E96" s="57" t="n"/>
      <c r="F96" s="57" t="n"/>
      <c r="G96" s="57" t="n"/>
      <c r="H96" s="57" t="n"/>
      <c r="I96" s="85" t="n"/>
      <c r="J96" s="85" t="n"/>
      <c r="K96" s="85" t="n"/>
      <c r="L96" s="85" t="n"/>
      <c r="M96" s="85" t="n"/>
      <c r="N96" s="85" t="n"/>
    </row>
    <row r="97" s="31">
      <c r="A97" s="57" t="n"/>
      <c r="B97" s="57" t="n"/>
      <c r="C97" s="57" t="n"/>
      <c r="D97" s="57" t="n"/>
      <c r="E97" s="57" t="n"/>
      <c r="F97" s="57" t="n"/>
      <c r="G97" s="57" t="n"/>
      <c r="H97" s="57" t="n"/>
      <c r="I97" s="85" t="n"/>
      <c r="J97" s="85" t="n"/>
      <c r="K97" s="85" t="n"/>
      <c r="L97" s="85" t="n"/>
      <c r="M97" s="85" t="n"/>
      <c r="N97" s="85" t="n"/>
    </row>
    <row r="98" s="31">
      <c r="A98" s="57" t="n"/>
      <c r="B98" s="57" t="n"/>
      <c r="C98" s="57" t="n"/>
      <c r="D98" s="57" t="n"/>
      <c r="E98" s="57" t="n"/>
      <c r="F98" s="57" t="n"/>
      <c r="G98" s="57" t="n"/>
      <c r="H98" s="57" t="n"/>
      <c r="I98" s="85" t="n"/>
      <c r="J98" s="85" t="n"/>
      <c r="K98" s="85" t="n"/>
      <c r="L98" s="85" t="n"/>
      <c r="M98" s="85" t="n"/>
      <c r="N98" s="85" t="n"/>
    </row>
    <row r="99" s="31">
      <c r="A99" s="57" t="n"/>
      <c r="B99" s="57" t="n"/>
      <c r="C99" s="57" t="n"/>
      <c r="D99" s="57" t="n"/>
      <c r="E99" s="57" t="n"/>
      <c r="F99" s="57" t="n"/>
      <c r="G99" s="57" t="n"/>
      <c r="H99" s="57" t="n"/>
      <c r="I99" s="85" t="n"/>
      <c r="J99" s="85" t="n"/>
      <c r="K99" s="85" t="n"/>
      <c r="L99" s="85" t="n"/>
      <c r="M99" s="85" t="n"/>
      <c r="N99" s="85" t="n"/>
    </row>
    <row r="100" s="31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85" t="n"/>
      <c r="J100" s="85" t="n"/>
      <c r="K100" s="85" t="n"/>
      <c r="L100" s="85" t="n"/>
      <c r="M100" s="85" t="n"/>
      <c r="N100" s="85" t="n"/>
    </row>
    <row r="101" s="3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85" t="n"/>
      <c r="J101" s="85" t="n"/>
      <c r="K101" s="85" t="n"/>
      <c r="L101" s="85" t="n"/>
      <c r="M101" s="85" t="n"/>
      <c r="N101" s="85" t="n"/>
    </row>
    <row r="102" s="31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85" t="n"/>
      <c r="J102" s="85" t="n"/>
      <c r="K102" s="85" t="n"/>
      <c r="L102" s="85" t="n"/>
      <c r="M102" s="85" t="n"/>
      <c r="N102" s="85" t="n"/>
    </row>
    <row r="103" s="31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85" t="n"/>
      <c r="J103" s="85" t="n"/>
      <c r="K103" s="85" t="n"/>
      <c r="L103" s="85" t="n"/>
      <c r="M103" s="85" t="n"/>
      <c r="N103" s="85" t="n"/>
    </row>
    <row r="104" s="31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85" t="n"/>
      <c r="J104" s="85" t="n"/>
      <c r="K104" s="85" t="n"/>
      <c r="L104" s="85" t="n"/>
      <c r="M104" s="85" t="n"/>
      <c r="N104" s="85" t="n"/>
    </row>
    <row r="105" s="31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85" t="n"/>
      <c r="J105" s="85" t="n"/>
      <c r="K105" s="85" t="n"/>
      <c r="L105" s="85" t="n"/>
      <c r="M105" s="85" t="n"/>
      <c r="N105" s="85" t="n"/>
    </row>
    <row r="106" s="31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85" t="n"/>
      <c r="J106" s="85" t="n"/>
      <c r="K106" s="85" t="n"/>
      <c r="L106" s="85" t="n"/>
      <c r="M106" s="85" t="n"/>
      <c r="N106" s="85" t="n"/>
    </row>
    <row r="107" s="31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85" t="n"/>
      <c r="J107" s="85" t="n"/>
      <c r="K107" s="85" t="n"/>
      <c r="L107" s="85" t="n"/>
      <c r="M107" s="85" t="n"/>
      <c r="N107" s="85" t="n"/>
    </row>
    <row r="108" s="31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85" t="n"/>
      <c r="J108" s="85" t="n"/>
      <c r="K108" s="85" t="n"/>
      <c r="L108" s="85" t="n"/>
      <c r="M108" s="85" t="n"/>
      <c r="N108" s="85" t="n"/>
    </row>
    <row r="109" s="31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85" t="n"/>
      <c r="J109" s="85" t="n"/>
      <c r="K109" s="85" t="n"/>
      <c r="L109" s="85" t="n"/>
      <c r="M109" s="85" t="n"/>
      <c r="N109" s="85" t="n"/>
    </row>
    <row r="110" s="31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85" t="n"/>
      <c r="J110" s="85" t="n"/>
      <c r="K110" s="85" t="n"/>
      <c r="L110" s="85" t="n"/>
      <c r="M110" s="85" t="n"/>
      <c r="N110" s="85" t="n"/>
    </row>
    <row r="111" s="3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85" t="n"/>
      <c r="J111" s="85" t="n"/>
      <c r="K111" s="85" t="n"/>
      <c r="L111" s="85" t="n"/>
      <c r="M111" s="85" t="n"/>
      <c r="N111" s="85" t="n"/>
    </row>
    <row r="112" s="31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85" t="n"/>
      <c r="J112" s="85" t="n"/>
      <c r="K112" s="85" t="n"/>
      <c r="L112" s="85" t="n"/>
      <c r="M112" s="85" t="n"/>
      <c r="N112" s="85" t="n"/>
    </row>
    <row r="113" s="31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85" t="n"/>
      <c r="J113" s="85" t="n"/>
      <c r="K113" s="85" t="n"/>
      <c r="L113" s="85" t="n"/>
      <c r="M113" s="85" t="n"/>
      <c r="N113" s="85" t="n"/>
    </row>
    <row r="114" s="31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85" t="n"/>
      <c r="J114" s="85" t="n"/>
      <c r="K114" s="85" t="n"/>
      <c r="L114" s="85" t="n"/>
      <c r="M114" s="85" t="n"/>
      <c r="N114" s="85" t="n"/>
    </row>
    <row r="115" s="31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85" t="n"/>
      <c r="J115" s="85" t="n"/>
      <c r="K115" s="85" t="n"/>
      <c r="L115" s="85" t="n"/>
      <c r="M115" s="85" t="n"/>
      <c r="N115" s="85" t="n"/>
    </row>
    <row r="116" s="31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85" t="n"/>
      <c r="J116" s="85" t="n"/>
      <c r="K116" s="85" t="n"/>
      <c r="L116" s="85" t="n"/>
      <c r="M116" s="85" t="n"/>
      <c r="N116" s="85" t="n"/>
    </row>
    <row r="117" s="31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85" t="n"/>
      <c r="J117" s="85" t="n"/>
      <c r="K117" s="85" t="n"/>
      <c r="L117" s="85" t="n"/>
      <c r="M117" s="85" t="n"/>
      <c r="N117" s="85" t="n"/>
    </row>
    <row r="118" s="31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85" t="n"/>
      <c r="J118" s="85" t="n"/>
      <c r="K118" s="85" t="n"/>
      <c r="L118" s="85" t="n"/>
      <c r="M118" s="85" t="n"/>
      <c r="N118" s="85" t="n"/>
    </row>
    <row r="119" s="31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85" t="n"/>
      <c r="J119" s="85" t="n"/>
      <c r="K119" s="85" t="n"/>
      <c r="L119" s="85" t="n"/>
      <c r="M119" s="85" t="n"/>
      <c r="N119" s="85" t="n"/>
    </row>
    <row r="120" s="31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85" t="n"/>
      <c r="J120" s="85" t="n"/>
      <c r="K120" s="85" t="n"/>
      <c r="L120" s="85" t="n"/>
      <c r="M120" s="85" t="n"/>
      <c r="N120" s="85" t="n"/>
    </row>
    <row r="121" s="3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85" t="n"/>
      <c r="J121" s="85" t="n"/>
      <c r="K121" s="85" t="n"/>
      <c r="L121" s="85" t="n"/>
      <c r="M121" s="85" t="n"/>
      <c r="N121" s="85" t="n"/>
    </row>
    <row r="122" s="31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85" t="n"/>
      <c r="J122" s="85" t="n"/>
      <c r="K122" s="85" t="n"/>
      <c r="L122" s="85" t="n"/>
      <c r="M122" s="85" t="n"/>
      <c r="N122" s="85" t="n"/>
    </row>
    <row r="123" s="31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85" t="n"/>
      <c r="J123" s="85" t="n"/>
      <c r="K123" s="85" t="n"/>
      <c r="L123" s="85" t="n"/>
      <c r="M123" s="85" t="n"/>
      <c r="N123" s="85" t="n"/>
    </row>
    <row r="124" s="31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85" t="n"/>
      <c r="J124" s="85" t="n"/>
      <c r="K124" s="85" t="n"/>
      <c r="L124" s="85" t="n"/>
      <c r="M124" s="85" t="n"/>
      <c r="N124" s="85" t="n"/>
    </row>
    <row r="125" s="31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85" t="n"/>
      <c r="J125" s="85" t="n"/>
      <c r="K125" s="85" t="n"/>
      <c r="L125" s="85" t="n"/>
      <c r="M125" s="85" t="n"/>
      <c r="N125" s="85" t="n"/>
    </row>
    <row r="126" s="31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85" t="n"/>
      <c r="J126" s="85" t="n"/>
      <c r="K126" s="85" t="n"/>
      <c r="L126" s="85" t="n"/>
      <c r="M126" s="85" t="n"/>
      <c r="N126" s="85" t="n"/>
    </row>
    <row r="127" s="31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85" t="n"/>
      <c r="J127" s="85" t="n"/>
      <c r="K127" s="85" t="n"/>
      <c r="L127" s="85" t="n"/>
      <c r="M127" s="85" t="n"/>
      <c r="N127" s="85" t="n"/>
    </row>
    <row r="128" s="31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85" t="n"/>
      <c r="J128" s="85" t="n"/>
      <c r="K128" s="85" t="n"/>
      <c r="L128" s="85" t="n"/>
      <c r="M128" s="85" t="n"/>
      <c r="N128" s="85" t="n"/>
    </row>
    <row r="129" s="31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85" t="n"/>
      <c r="J129" s="85" t="n"/>
      <c r="K129" s="85" t="n"/>
      <c r="L129" s="85" t="n"/>
      <c r="M129" s="85" t="n"/>
      <c r="N129" s="85" t="n"/>
    </row>
    <row r="130" s="31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85" t="n"/>
      <c r="J130" s="85" t="n"/>
      <c r="K130" s="85" t="n"/>
      <c r="L130" s="85" t="n"/>
      <c r="M130" s="85" t="n"/>
      <c r="N130" s="85" t="n"/>
    </row>
    <row r="131" s="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85" t="n"/>
      <c r="J131" s="85" t="n"/>
      <c r="K131" s="85" t="n"/>
      <c r="L131" s="85" t="n"/>
      <c r="M131" s="85" t="n"/>
      <c r="N131" s="85" t="n"/>
    </row>
    <row r="132" s="31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85" t="n"/>
      <c r="J132" s="85" t="n"/>
      <c r="K132" s="85" t="n"/>
      <c r="L132" s="85" t="n"/>
      <c r="M132" s="85" t="n"/>
      <c r="N132" s="85" t="n"/>
    </row>
    <row r="133" s="3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85" t="n"/>
      <c r="J133" s="85" t="n"/>
      <c r="K133" s="85" t="n"/>
      <c r="L133" s="85" t="n"/>
      <c r="M133" s="85" t="n"/>
      <c r="N133" s="85" t="n"/>
    </row>
    <row r="134" s="3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85" t="n"/>
      <c r="J134" s="85" t="n"/>
      <c r="K134" s="85" t="n"/>
      <c r="L134" s="85" t="n"/>
      <c r="M134" s="85" t="n"/>
      <c r="N134" s="85" t="n"/>
    </row>
    <row r="135" s="31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85" t="n"/>
      <c r="J135" s="85" t="n"/>
      <c r="K135" s="85" t="n"/>
      <c r="L135" s="85" t="n"/>
      <c r="M135" s="85" t="n"/>
      <c r="N135" s="85" t="n"/>
    </row>
    <row r="136" s="31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85" t="n"/>
      <c r="J136" s="85" t="n"/>
      <c r="K136" s="85" t="n"/>
      <c r="L136" s="85" t="n"/>
      <c r="M136" s="85" t="n"/>
      <c r="N136" s="85" t="n"/>
    </row>
    <row r="137" s="31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85" t="n"/>
      <c r="J137" s="85" t="n"/>
      <c r="K137" s="85" t="n"/>
      <c r="L137" s="85" t="n"/>
      <c r="M137" s="85" t="n"/>
      <c r="N137" s="85" t="n"/>
    </row>
    <row r="138" s="31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85" t="n"/>
      <c r="J138" s="85" t="n"/>
      <c r="K138" s="85" t="n"/>
      <c r="L138" s="85" t="n"/>
      <c r="M138" s="85" t="n"/>
      <c r="N138" s="85" t="n"/>
    </row>
    <row r="139" s="31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85" t="n"/>
      <c r="J139" s="85" t="n"/>
      <c r="K139" s="85" t="n"/>
      <c r="L139" s="85" t="n"/>
      <c r="M139" s="85" t="n"/>
      <c r="N139" s="85" t="n"/>
    </row>
    <row r="140" s="31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85" t="n"/>
      <c r="J140" s="85" t="n"/>
      <c r="K140" s="85" t="n"/>
      <c r="L140" s="85" t="n"/>
      <c r="M140" s="85" t="n"/>
      <c r="N140" s="85" t="n"/>
    </row>
    <row r="141" s="3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85" t="n"/>
      <c r="J141" s="85" t="n"/>
      <c r="K141" s="85" t="n"/>
      <c r="L141" s="85" t="n"/>
      <c r="M141" s="85" t="n"/>
      <c r="N141" s="85" t="n"/>
    </row>
    <row r="142" s="31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85" t="n"/>
      <c r="J142" s="85" t="n"/>
      <c r="K142" s="85" t="n"/>
      <c r="L142" s="85" t="n"/>
      <c r="M142" s="85" t="n"/>
      <c r="N142" s="85" t="n"/>
    </row>
    <row r="143" s="31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85" t="n"/>
      <c r="J143" s="85" t="n"/>
      <c r="K143" s="85" t="n"/>
      <c r="L143" s="85" t="n"/>
      <c r="M143" s="85" t="n"/>
      <c r="N143" s="85" t="n"/>
    </row>
    <row r="144" s="31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85" t="n"/>
      <c r="J144" s="85" t="n"/>
      <c r="K144" s="85" t="n"/>
      <c r="L144" s="85" t="n"/>
      <c r="M144" s="85" t="n"/>
      <c r="N144" s="85" t="n"/>
    </row>
    <row r="145" s="31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85" t="n"/>
      <c r="J145" s="85" t="n"/>
      <c r="K145" s="85" t="n"/>
      <c r="L145" s="85" t="n"/>
      <c r="M145" s="85" t="n"/>
      <c r="N145" s="85" t="n"/>
    </row>
    <row r="146" s="31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85" t="n"/>
      <c r="J146" s="85" t="n"/>
      <c r="K146" s="85" t="n"/>
      <c r="L146" s="85" t="n"/>
      <c r="M146" s="85" t="n"/>
      <c r="N146" s="85" t="n"/>
    </row>
    <row r="147" s="31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85" t="n"/>
      <c r="J147" s="85" t="n"/>
      <c r="K147" s="85" t="n"/>
      <c r="L147" s="85" t="n"/>
      <c r="M147" s="85" t="n"/>
      <c r="N147" s="85" t="n"/>
    </row>
    <row r="148" s="31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85" t="n"/>
      <c r="J148" s="85" t="n"/>
      <c r="K148" s="85" t="n"/>
      <c r="L148" s="85" t="n"/>
      <c r="M148" s="85" t="n"/>
      <c r="N148" s="85" t="n"/>
    </row>
    <row r="149" s="31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85" t="n"/>
      <c r="J149" s="85" t="n"/>
      <c r="K149" s="85" t="n"/>
      <c r="L149" s="85" t="n"/>
      <c r="M149" s="85" t="n"/>
      <c r="N149" s="85" t="n"/>
    </row>
    <row r="150" s="31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85" t="n"/>
      <c r="J150" s="85" t="n"/>
      <c r="K150" s="85" t="n"/>
      <c r="L150" s="85" t="n"/>
      <c r="M150" s="85" t="n"/>
      <c r="N150" s="85" t="n"/>
    </row>
    <row r="151" s="3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85" t="n"/>
      <c r="J151" s="85" t="n"/>
      <c r="K151" s="85" t="n"/>
      <c r="L151" s="85" t="n"/>
      <c r="M151" s="85" t="n"/>
      <c r="N151" s="85" t="n"/>
    </row>
    <row r="152" s="31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85" t="n"/>
      <c r="J152" s="85" t="n"/>
      <c r="K152" s="85" t="n"/>
      <c r="L152" s="85" t="n"/>
      <c r="M152" s="85" t="n"/>
      <c r="N152" s="85" t="n"/>
    </row>
    <row r="153" s="31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85" t="n"/>
      <c r="J153" s="85" t="n"/>
      <c r="K153" s="85" t="n"/>
      <c r="L153" s="85" t="n"/>
      <c r="M153" s="85" t="n"/>
      <c r="N153" s="85" t="n"/>
    </row>
    <row r="154" s="31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85" t="n"/>
      <c r="J154" s="85" t="n"/>
      <c r="K154" s="85" t="n"/>
      <c r="L154" s="85" t="n"/>
      <c r="M154" s="85" t="n"/>
      <c r="N154" s="85" t="n"/>
    </row>
    <row r="155" s="31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85" t="n"/>
      <c r="J155" s="85" t="n"/>
      <c r="K155" s="85" t="n"/>
      <c r="L155" s="85" t="n"/>
      <c r="M155" s="85" t="n"/>
      <c r="N155" s="85" t="n"/>
    </row>
    <row r="156" s="31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85" t="n"/>
      <c r="J156" s="85" t="n"/>
      <c r="K156" s="85" t="n"/>
      <c r="L156" s="85" t="n"/>
      <c r="M156" s="85" t="n"/>
      <c r="N156" s="85" t="n"/>
    </row>
    <row r="157" s="31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85" t="n"/>
      <c r="J157" s="85" t="n"/>
      <c r="K157" s="85" t="n"/>
      <c r="L157" s="85" t="n"/>
      <c r="M157" s="85" t="n"/>
      <c r="N157" s="85" t="n"/>
    </row>
    <row r="158" s="31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85" t="n"/>
      <c r="J158" s="85" t="n"/>
      <c r="K158" s="85" t="n"/>
      <c r="L158" s="85" t="n"/>
      <c r="M158" s="85" t="n"/>
      <c r="N158" s="85" t="n"/>
    </row>
    <row r="159" s="31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85" t="n"/>
      <c r="J159" s="85" t="n"/>
      <c r="K159" s="85" t="n"/>
      <c r="L159" s="85" t="n"/>
      <c r="M159" s="85" t="n"/>
      <c r="N159" s="85" t="n"/>
    </row>
    <row r="160" s="31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85" t="n"/>
      <c r="J160" s="85" t="n"/>
      <c r="K160" s="85" t="n"/>
      <c r="L160" s="85" t="n"/>
      <c r="M160" s="85" t="n"/>
      <c r="N160" s="85" t="n"/>
    </row>
    <row r="161" s="3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85" t="n"/>
      <c r="J161" s="85" t="n"/>
      <c r="K161" s="85" t="n"/>
      <c r="L161" s="85" t="n"/>
      <c r="M161" s="85" t="n"/>
      <c r="N161" s="85" t="n"/>
    </row>
    <row r="162" s="31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85" t="n"/>
      <c r="J162" s="85" t="n"/>
      <c r="K162" s="85" t="n"/>
      <c r="L162" s="85" t="n"/>
      <c r="M162" s="85" t="n"/>
      <c r="N162" s="85" t="n"/>
    </row>
    <row r="163" s="31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85" t="n"/>
      <c r="J163" s="85" t="n"/>
      <c r="K163" s="85" t="n"/>
      <c r="L163" s="85" t="n"/>
      <c r="M163" s="85" t="n"/>
      <c r="N163" s="85" t="n"/>
    </row>
    <row r="164" s="3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85" t="n"/>
      <c r="J164" s="85" t="n"/>
      <c r="K164" s="85" t="n"/>
      <c r="L164" s="85" t="n"/>
      <c r="M164" s="85" t="n"/>
      <c r="N164" s="85" t="n"/>
    </row>
    <row r="165" s="3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85" t="n"/>
      <c r="J165" s="85" t="n"/>
      <c r="K165" s="85" t="n"/>
      <c r="L165" s="85" t="n"/>
      <c r="M165" s="85" t="n"/>
      <c r="N165" s="85" t="n"/>
    </row>
    <row r="166" s="3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85" t="n"/>
      <c r="J166" s="85" t="n"/>
      <c r="K166" s="85" t="n"/>
      <c r="L166" s="85" t="n"/>
      <c r="M166" s="85" t="n"/>
      <c r="N166" s="85" t="n"/>
    </row>
    <row r="167" s="3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85" t="n"/>
      <c r="J167" s="85" t="n"/>
      <c r="K167" s="85" t="n"/>
      <c r="L167" s="85" t="n"/>
      <c r="M167" s="85" t="n"/>
      <c r="N167" s="85" t="n"/>
    </row>
    <row r="168" s="31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85" t="n"/>
      <c r="J168" s="85" t="n"/>
      <c r="K168" s="85" t="n"/>
      <c r="L168" s="85" t="n"/>
      <c r="M168" s="85" t="n"/>
      <c r="N168" s="85" t="n"/>
    </row>
    <row r="169" s="31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85" t="n"/>
      <c r="J169" s="85" t="n"/>
      <c r="K169" s="85" t="n"/>
      <c r="L169" s="85" t="n"/>
      <c r="M169" s="85" t="n"/>
      <c r="N169" s="85" t="n"/>
    </row>
    <row r="170" s="31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85" t="n"/>
      <c r="J170" s="85" t="n"/>
      <c r="K170" s="85" t="n"/>
      <c r="L170" s="85" t="n"/>
      <c r="M170" s="85" t="n"/>
      <c r="N170" s="85" t="n"/>
    </row>
    <row r="171" s="3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85" t="n"/>
      <c r="J171" s="85" t="n"/>
      <c r="K171" s="85" t="n"/>
      <c r="L171" s="85" t="n"/>
      <c r="M171" s="85" t="n"/>
      <c r="N171" s="85" t="n"/>
    </row>
    <row r="172" s="31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85" t="n"/>
      <c r="J172" s="85" t="n"/>
      <c r="K172" s="85" t="n"/>
      <c r="L172" s="85" t="n"/>
      <c r="M172" s="85" t="n"/>
      <c r="N172" s="85" t="n"/>
    </row>
    <row r="173" s="31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85" t="n"/>
      <c r="J173" s="85" t="n"/>
      <c r="K173" s="85" t="n"/>
      <c r="L173" s="85" t="n"/>
      <c r="M173" s="85" t="n"/>
      <c r="N173" s="85" t="n"/>
    </row>
    <row r="174" s="31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85" t="n"/>
      <c r="J174" s="85" t="n"/>
      <c r="K174" s="85" t="n"/>
      <c r="L174" s="85" t="n"/>
      <c r="M174" s="85" t="n"/>
      <c r="N174" s="85" t="n"/>
    </row>
    <row r="175" s="31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85" t="n"/>
      <c r="J175" s="85" t="n"/>
      <c r="K175" s="85" t="n"/>
      <c r="L175" s="85" t="n"/>
      <c r="M175" s="85" t="n"/>
      <c r="N175" s="85" t="n"/>
    </row>
    <row r="176" s="31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85" t="n"/>
      <c r="J176" s="85" t="n"/>
      <c r="K176" s="85" t="n"/>
      <c r="L176" s="85" t="n"/>
      <c r="M176" s="85" t="n"/>
      <c r="N176" s="85" t="n"/>
    </row>
    <row r="177" s="31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85" t="n"/>
      <c r="J177" s="85" t="n"/>
      <c r="K177" s="85" t="n"/>
      <c r="L177" s="85" t="n"/>
      <c r="M177" s="85" t="n"/>
      <c r="N177" s="85" t="n"/>
    </row>
    <row r="178" s="31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85" t="n"/>
      <c r="J178" s="85" t="n"/>
      <c r="K178" s="85" t="n"/>
      <c r="L178" s="85" t="n"/>
      <c r="M178" s="85" t="n"/>
      <c r="N178" s="85" t="n"/>
    </row>
    <row r="179" s="31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85" t="n"/>
      <c r="J179" s="85" t="n"/>
      <c r="K179" s="85" t="n"/>
      <c r="L179" s="85" t="n"/>
      <c r="M179" s="85" t="n"/>
      <c r="N179" s="85" t="n"/>
    </row>
    <row r="180" s="31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85" t="n"/>
      <c r="J180" s="85" t="n"/>
      <c r="K180" s="85" t="n"/>
      <c r="L180" s="85" t="n"/>
      <c r="M180" s="85" t="n"/>
      <c r="N180" s="85" t="n"/>
    </row>
    <row r="181" s="3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85" t="n"/>
      <c r="J181" s="85" t="n"/>
      <c r="K181" s="85" t="n"/>
      <c r="L181" s="85" t="n"/>
      <c r="M181" s="85" t="n"/>
      <c r="N181" s="85" t="n"/>
    </row>
    <row r="182" s="31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85" t="n"/>
      <c r="J182" s="85" t="n"/>
      <c r="K182" s="85" t="n"/>
      <c r="L182" s="85" t="n"/>
      <c r="M182" s="85" t="n"/>
      <c r="N182" s="85" t="n"/>
    </row>
    <row r="183" s="31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85" t="n"/>
      <c r="J183" s="85" t="n"/>
      <c r="K183" s="85" t="n"/>
      <c r="L183" s="85" t="n"/>
      <c r="M183" s="85" t="n"/>
      <c r="N183" s="85" t="n"/>
    </row>
    <row r="184" s="31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85" t="n"/>
      <c r="J184" s="85" t="n"/>
      <c r="K184" s="85" t="n"/>
      <c r="L184" s="85" t="n"/>
      <c r="M184" s="85" t="n"/>
      <c r="N184" s="85" t="n"/>
    </row>
    <row r="185" s="31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85" t="n"/>
      <c r="J185" s="85" t="n"/>
      <c r="K185" s="85" t="n"/>
      <c r="L185" s="85" t="n"/>
      <c r="M185" s="85" t="n"/>
      <c r="N185" s="85" t="n"/>
    </row>
    <row r="186" s="31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85" t="n"/>
      <c r="J186" s="85" t="n"/>
      <c r="K186" s="85" t="n"/>
      <c r="L186" s="85" t="n"/>
      <c r="M186" s="85" t="n"/>
      <c r="N186" s="85" t="n"/>
    </row>
    <row r="187" s="31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85" t="n"/>
      <c r="J187" s="85" t="n"/>
      <c r="K187" s="85" t="n"/>
      <c r="L187" s="85" t="n"/>
      <c r="M187" s="85" t="n"/>
      <c r="N187" s="85" t="n"/>
    </row>
    <row r="188" s="31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85" t="n"/>
      <c r="J188" s="85" t="n"/>
      <c r="K188" s="85" t="n"/>
      <c r="L188" s="85" t="n"/>
      <c r="M188" s="85" t="n"/>
      <c r="N188" s="85" t="n"/>
    </row>
    <row r="189" s="31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85" t="n"/>
      <c r="J189" s="85" t="n"/>
      <c r="K189" s="85" t="n"/>
      <c r="L189" s="85" t="n"/>
      <c r="M189" s="85" t="n"/>
      <c r="N189" s="85" t="n"/>
    </row>
    <row r="190" s="31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85" t="n"/>
      <c r="J190" s="85" t="n"/>
      <c r="K190" s="85" t="n"/>
      <c r="L190" s="85" t="n"/>
      <c r="M190" s="85" t="n"/>
      <c r="N190" s="85" t="n"/>
    </row>
    <row r="191" s="3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85" t="n"/>
      <c r="J191" s="85" t="n"/>
      <c r="K191" s="85" t="n"/>
      <c r="L191" s="85" t="n"/>
      <c r="M191" s="85" t="n"/>
      <c r="N191" s="85" t="n"/>
    </row>
    <row r="192" s="31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85" t="n"/>
      <c r="J192" s="85" t="n"/>
      <c r="K192" s="85" t="n"/>
      <c r="L192" s="85" t="n"/>
      <c r="M192" s="85" t="n"/>
      <c r="N192" s="85" t="n"/>
    </row>
    <row r="193" s="31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85" t="n"/>
      <c r="J193" s="85" t="n"/>
      <c r="K193" s="85" t="n"/>
      <c r="L193" s="85" t="n"/>
      <c r="M193" s="85" t="n"/>
      <c r="N193" s="85" t="n"/>
    </row>
    <row r="194" s="31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85" t="n"/>
      <c r="J194" s="85" t="n"/>
      <c r="K194" s="85" t="n"/>
      <c r="L194" s="85" t="n"/>
      <c r="M194" s="85" t="n"/>
      <c r="N194" s="85" t="n"/>
    </row>
    <row r="195" s="31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85" t="n"/>
      <c r="J195" s="85" t="n"/>
      <c r="K195" s="85" t="n"/>
      <c r="L195" s="85" t="n"/>
      <c r="M195" s="85" t="n"/>
      <c r="N195" s="85" t="n"/>
    </row>
    <row r="196" s="31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85" t="n"/>
      <c r="J196" s="85" t="n"/>
      <c r="K196" s="85" t="n"/>
      <c r="L196" s="85" t="n"/>
      <c r="M196" s="85" t="n"/>
      <c r="N196" s="85" t="n"/>
    </row>
    <row r="197" s="31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85" t="n"/>
      <c r="J197" s="85" t="n"/>
      <c r="K197" s="85" t="n"/>
      <c r="L197" s="85" t="n"/>
      <c r="M197" s="85" t="n"/>
      <c r="N197" s="85" t="n"/>
    </row>
    <row r="198" s="31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85" t="n"/>
      <c r="J198" s="85" t="n"/>
      <c r="K198" s="85" t="n"/>
      <c r="L198" s="85" t="n"/>
      <c r="M198" s="85" t="n"/>
      <c r="N198" s="85" t="n"/>
    </row>
    <row r="199" s="31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85" t="n"/>
      <c r="J199" s="85" t="n"/>
      <c r="K199" s="85" t="n"/>
      <c r="L199" s="85" t="n"/>
      <c r="M199" s="85" t="n"/>
      <c r="N199" s="85" t="n"/>
    </row>
    <row r="200" s="31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85" t="n"/>
      <c r="J200" s="85" t="n"/>
      <c r="K200" s="85" t="n"/>
      <c r="L200" s="85" t="n"/>
      <c r="M200" s="85" t="n"/>
      <c r="N200" s="85" t="n"/>
    </row>
  </sheetData>
  <dataValidations count="4">
    <dataValidation sqref="H2:H200" showDropDown="0" showInputMessage="0" showErrorMessage="0" allowBlank="1" type="list">
      <formula1>"Abierta,Aceptada,Descartada,Trasladada"</formula1>
    </dataValidation>
    <dataValidation sqref="I2:I200" showDropDown="0" showInputMessage="0" showErrorMessage="0" allowBlank="1" type="list">
      <formula1>"Decisión del PO,Mejora técnica,Cobertura pendiente,Entorno,Confirmación,Ajena a la HU,Entrega pendiente"</formula1>
    </dataValidation>
    <dataValidation sqref="J2:J200" showDropDown="0" showInputMessage="0" showErrorMessage="0" allowBlank="1" type="list">
      <formula1>"Crítica,Alta,Media,Baja"</formula1>
    </dataValidation>
    <dataValidation sqref="K2:K200" showDropDown="0" showInputMessage="0" showErrorMessage="0" allowBlank="1" type="list">
      <formula1>"PO,Dev,QA"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8C4F3C"/>
    <outlinePr summaryBelow="1" summaryRight="1"/>
    <pageSetUpPr/>
  </sheetPr>
  <dimension ref="A1:K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31" min="1" max="1"/>
    <col width="30" customWidth="1" style="31" min="2" max="2"/>
    <col width="9" customWidth="1" style="31" min="3" max="3"/>
    <col width="44" customWidth="1" style="31" min="4" max="4"/>
    <col width="14" customWidth="1" style="31" min="5" max="5"/>
    <col width="13" customWidth="1" style="31" min="6" max="6"/>
    <col width="18" customWidth="1" style="31" min="7" max="7"/>
    <col width="14" customWidth="1" style="31" min="8" max="8"/>
    <col width="12" customWidth="1" style="31" min="9" max="9"/>
    <col width="9" customWidth="1" style="31" min="10" max="10"/>
    <col width="44" customWidth="1" style="31" min="11" max="11"/>
  </cols>
  <sheetData>
    <row r="1" ht="33" customHeight="1" s="31">
      <c r="A1" s="68" t="inlineStr">
        <is>
          <t>ID</t>
        </is>
      </c>
      <c r="B1" s="68" t="inlineStr">
        <is>
          <t>Subtarea</t>
        </is>
      </c>
      <c r="C1" s="68" t="inlineStr">
        <is>
          <t>Historia</t>
        </is>
      </c>
      <c r="D1" s="68" t="inlineStr">
        <is>
          <t>Qué falta</t>
        </is>
      </c>
      <c r="E1" s="68" t="inlineStr">
        <is>
          <t>Responsable</t>
        </is>
      </c>
      <c r="F1" s="68" t="inlineStr">
        <is>
          <t>Estado en Jira</t>
        </is>
      </c>
      <c r="G1" s="68" t="inlineStr">
        <is>
          <t>Estado real</t>
        </is>
      </c>
      <c r="H1" s="68" t="inlineStr">
        <is>
          <t>Fecha comprometida</t>
        </is>
      </c>
      <c r="I1" s="68" t="inlineStr">
        <is>
          <t>¿Bloquea el cierre?</t>
        </is>
      </c>
      <c r="J1" s="68" t="inlineStr">
        <is>
          <t>Origen</t>
        </is>
      </c>
      <c r="K1" s="68" t="inlineStr">
        <is>
          <t>Comentario</t>
        </is>
      </c>
    </row>
    <row r="2" ht="67.8" customHeight="1" s="31">
      <c r="A2" s="73" t="inlineStr">
        <is>
          <t>PEN-01</t>
        </is>
      </c>
      <c r="B2" s="73" t="inlineStr">
        <is>
          <t>PP-125</t>
        </is>
      </c>
      <c r="C2" s="73" t="inlineStr">
        <is>
          <t>HT-06</t>
        </is>
      </c>
      <c r="D2" s="73" t="inlineStr">
        <is>
          <t>Receptor FTP/TCP en contenedor propio (el despliegue tiene api, worker, beat y redis; la ingesta usa sondeo desde Celery)</t>
        </is>
      </c>
      <c r="E2" s="73" t="inlineStr">
        <is>
          <t>Por definir (decision del PO)</t>
        </is>
      </c>
      <c r="F2" s="73" t="inlineStr">
        <is>
          <t>Listo</t>
        </is>
      </c>
      <c r="G2" s="73" t="inlineStr">
        <is>
          <t>Por hacer: no entregada</t>
        </is>
      </c>
      <c r="H2" s="73" t="inlineStr">
        <is>
          <t>Por definir</t>
        </is>
      </c>
      <c r="I2" s="73" t="inlineStr">
        <is>
          <t>Sí</t>
        </is>
      </c>
      <c r="J2" s="73" t="inlineStr">
        <is>
          <t>Subtarea PP-125</t>
        </is>
      </c>
      <c r="K2" s="73" t="inlineStr">
        <is>
          <t>Ver OBS-01: el PO decide si el sondeo Celery reemplaza al receptor.</t>
        </is>
      </c>
    </row>
    <row r="3" s="31">
      <c r="A3" s="69" t="inlineStr">
        <is>
          <t>PEN-02</t>
        </is>
      </c>
      <c r="B3" s="69" t="inlineStr">
        <is>
          <t>PP-127</t>
        </is>
      </c>
      <c r="C3" s="69" t="inlineStr">
        <is>
          <t>HT-06</t>
        </is>
      </c>
      <c r="D3" s="69" t="inlineStr">
        <is>
          <t>Integracion de la app con Object Storage: cliente S3, variables del bucket y escritura de los .dat y las exportaciones. El bucket pangea-storage-prod ya existe</t>
        </is>
      </c>
      <c r="E3" s="69" t="inlineStr">
        <is>
          <t>Dev</t>
        </is>
      </c>
      <c r="F3" s="69" t="inlineStr">
        <is>
          <t>Listo</t>
        </is>
      </c>
      <c r="G3" s="69" t="inlineStr">
        <is>
          <t>Por hacer: no entregada</t>
        </is>
      </c>
      <c r="H3" s="69" t="inlineStr">
        <is>
          <t>Por definir</t>
        </is>
      </c>
      <c r="I3" s="69" t="inlineStr">
        <is>
          <t>Sí</t>
        </is>
      </c>
      <c r="J3" s="69" t="inlineStr">
        <is>
          <t>Subtarea PP-127</t>
        </is>
      </c>
      <c r="K3" s="69" t="inlineStr">
        <is>
          <t>Sin boto3 ni variables de bucket en el despliegue activo.</t>
        </is>
      </c>
    </row>
    <row r="4" s="31">
      <c r="A4" s="69" t="inlineStr">
        <is>
          <t>PEN-03</t>
        </is>
      </c>
      <c r="B4" s="69" t="inlineStr">
        <is>
          <t>PP-129</t>
        </is>
      </c>
      <c r="C4" s="69" t="inlineStr">
        <is>
          <t>HT-06</t>
        </is>
      </c>
      <c r="D4" s="69" t="inlineStr">
        <is>
          <t>Tarea Celery beat de respaldo semanal de la BD hacia Object Storage, cifrada, con retencion de 12 meses</t>
        </is>
      </c>
      <c r="E4" s="69" t="inlineStr">
        <is>
          <t>Dev</t>
        </is>
      </c>
      <c r="F4" s="69" t="inlineStr">
        <is>
          <t>Listo</t>
        </is>
      </c>
      <c r="G4" s="69" t="inlineStr">
        <is>
          <t>Por hacer: no entregada</t>
        </is>
      </c>
      <c r="H4" s="69" t="inlineStr">
        <is>
          <t>Por definir</t>
        </is>
      </c>
      <c r="I4" s="69" t="inlineStr">
        <is>
          <t>Sí</t>
        </is>
      </c>
      <c r="J4" s="69" t="inlineStr">
        <is>
          <t>Subtarea PP-129</t>
        </is>
      </c>
      <c r="K4" s="69" t="inlineStr">
        <is>
          <t>Hoy solo hay el respaldo automatico nativo de Lightsail y un snapshot manual (pangea-pre-b948aac-20261020).</t>
        </is>
      </c>
    </row>
    <row r="5" s="31">
      <c r="A5" s="69" t="inlineStr">
        <is>
          <t>PEN-04</t>
        </is>
      </c>
      <c r="B5" s="69" t="inlineStr">
        <is>
          <t>Sin subtarea</t>
        </is>
      </c>
      <c r="C5" s="69" t="inlineStr">
        <is>
          <t>HT-06</t>
        </is>
      </c>
      <c r="D5" s="69" t="inlineStr">
        <is>
          <t>Tres entornos separados (desarrollo, staging y produccion) con variables de entorno propias</t>
        </is>
      </c>
      <c r="E5" s="69" t="inlineStr">
        <is>
          <t>Dev</t>
        </is>
      </c>
      <c r="F5" s="69" t="inlineStr">
        <is>
          <t>—</t>
        </is>
      </c>
      <c r="G5" s="69" t="inlineStr">
        <is>
          <t>Por hacer: no entregada</t>
        </is>
      </c>
      <c r="H5" s="69" t="inlineStr">
        <is>
          <t>Por definir</t>
        </is>
      </c>
      <c r="I5" s="69" t="inlineStr">
        <is>
          <t>Sí</t>
        </is>
      </c>
      <c r="J5" s="69" t="inlineStr">
        <is>
          <t>Procedimiento de la HU</t>
        </is>
      </c>
      <c r="K5" s="69" t="inlineStr">
        <is>
          <t>Solo existe produccion; el servidor de pruebas esta en curso.</t>
        </is>
      </c>
    </row>
    <row r="6" s="31">
      <c r="A6" s="69" t="inlineStr">
        <is>
          <t>PEN-05</t>
        </is>
      </c>
      <c r="B6" s="69" t="inlineStr">
        <is>
          <t>Sin subtarea</t>
        </is>
      </c>
      <c r="C6" s="69" t="inlineStr">
        <is>
          <t>HT-06</t>
        </is>
      </c>
      <c r="D6" s="69" t="inlineStr">
        <is>
          <t>Documentar el umbral de migracion (5 clientes activos o dashboard &gt; 3 s) y la restriccion de PostGIS en Lightsail</t>
        </is>
      </c>
      <c r="E6" s="69" t="inlineStr">
        <is>
          <t>Dev</t>
        </is>
      </c>
      <c r="F6" s="69" t="inlineStr">
        <is>
          <t>—</t>
        </is>
      </c>
      <c r="G6" s="69" t="inlineStr">
        <is>
          <t>Por hacer: no entregada</t>
        </is>
      </c>
      <c r="H6" s="69" t="inlineStr">
        <is>
          <t>Por definir</t>
        </is>
      </c>
      <c r="I6" s="69" t="inlineStr">
        <is>
          <t>No</t>
        </is>
      </c>
      <c r="J6" s="69" t="inlineStr">
        <is>
          <t>Procedimiento de la HU (v1.1)</t>
        </is>
      </c>
      <c r="K6" s="69" t="inlineStr">
        <is>
          <t>Los polígonos ya se guardan como GeoJSON en columna JSONB.</t>
        </is>
      </c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</row>
  </sheetData>
  <dataValidations count="2">
    <dataValidation sqref="G2:G200" showDropDown="0" showInputMessage="0" showErrorMessage="0" allowBlank="1" type="list">
      <formula1>"Por hacer: no entregada,En curso,Entregada"</formula1>
    </dataValidation>
    <dataValidation sqref="I2:I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4F3C"/>
    <outlinePr summaryBelow="1" summaryRight="1"/>
    <pageSetUpPr/>
  </sheetPr>
  <dimension ref="A1:M4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31" min="1" max="1"/>
    <col width="9" customWidth="1" style="31" min="2" max="2"/>
    <col width="12" customWidth="1" style="31" min="3" max="3"/>
    <col width="26" customWidth="1" style="31" min="4" max="4"/>
    <col width="11" customWidth="1" style="31" min="5" max="5"/>
    <col width="11" customWidth="1" style="31" min="6" max="6"/>
    <col width="10" customWidth="1" style="31" min="7" max="7"/>
    <col width="11" customWidth="1" style="31" min="8" max="8"/>
    <col width="11" customWidth="1" style="31" min="9" max="9"/>
    <col width="11" customWidth="1" style="31" min="10" max="10"/>
    <col width="18" customWidth="1" style="31" min="11" max="11"/>
    <col width="22" customWidth="1" style="31" min="12" max="12"/>
    <col width="44" customWidth="1" style="31" min="13" max="13"/>
  </cols>
  <sheetData>
    <row r="1" ht="33" customHeight="1" s="31">
      <c r="A1" s="68" t="inlineStr">
        <is>
          <t>Ronda</t>
        </is>
      </c>
      <c r="B1" s="68" t="inlineStr">
        <is>
          <t>Historia</t>
        </is>
      </c>
      <c r="C1" s="68" t="inlineStr">
        <is>
          <t>Fecha</t>
        </is>
      </c>
      <c r="D1" s="68" t="inlineStr">
        <is>
          <t>Commit probado</t>
        </is>
      </c>
      <c r="E1" s="68" t="inlineStr">
        <is>
          <t>Casos ejecutados</t>
        </is>
      </c>
      <c r="F1" s="68" t="inlineStr">
        <is>
          <t>Aprobados</t>
        </is>
      </c>
      <c r="G1" s="68" t="inlineStr">
        <is>
          <t>Fallidos</t>
        </is>
      </c>
      <c r="H1" s="68" t="inlineStr">
        <is>
          <t>Bloqueados</t>
        </is>
      </c>
      <c r="I1" s="68" t="inlineStr">
        <is>
          <t>Defectos nuevos</t>
        </is>
      </c>
      <c r="J1" s="68" t="inlineStr">
        <is>
          <t>Defectos cerrados</t>
        </is>
      </c>
      <c r="K1" s="68" t="inlineStr">
        <is>
          <t>Observaciones nuevas</t>
        </is>
      </c>
      <c r="L1" s="68" t="inlineStr">
        <is>
          <t>Evidencias</t>
        </is>
      </c>
      <c r="M1" s="68" t="inlineStr">
        <is>
          <t>Comentario</t>
        </is>
      </c>
    </row>
    <row r="2" ht="35.9" customHeight="1" s="31">
      <c r="A2" s="73" t="n">
        <v>1</v>
      </c>
      <c r="B2" s="73" t="inlineStr">
        <is>
          <t>HT-06</t>
        </is>
      </c>
      <c r="C2" s="73" t="inlineStr">
        <is>
          <t>28/10/2026</t>
        </is>
      </c>
      <c r="D2" s="73" t="inlineStr">
        <is>
          <t>bc5b89a (qa-elliot)</t>
        </is>
      </c>
      <c r="E2" s="73" t="n">
        <v>17</v>
      </c>
      <c r="F2" s="73" t="n">
        <v>11</v>
      </c>
      <c r="G2" s="73" t="n">
        <v>6</v>
      </c>
      <c r="H2" s="73" t="n">
        <v>12</v>
      </c>
      <c r="I2" s="73" t="n">
        <v>3</v>
      </c>
      <c r="J2" s="73" t="n">
        <v>0</v>
      </c>
      <c r="K2" s="73" t="n">
        <v>8</v>
      </c>
      <c r="L2" s="73" t="n">
        <v>31</v>
      </c>
      <c r="M2" s="73" t="inlineStr">
        <is>
          <t>Primera ronda: local (pytest, docker compose) y Lightsail en solo lectura. Sin prueba de redeploy ni de respaldo.</t>
        </is>
      </c>
    </row>
    <row r="3" ht="35.9" customHeight="1" s="31">
      <c r="A3" s="73" t="inlineStr">
        <is>
          <t>1</t>
        </is>
      </c>
      <c r="B3" s="73" t="inlineStr">
        <is>
          <t>HU-18</t>
        </is>
      </c>
      <c r="C3" s="73" t="inlineStr">
        <is>
          <t>28/10/2026</t>
        </is>
      </c>
      <c r="D3" s="73" t="inlineStr">
        <is>
          <t>61fdd71 (qa-elliot)</t>
        </is>
      </c>
      <c r="E3" s="73" t="inlineStr">
        <is>
          <t>29</t>
        </is>
      </c>
      <c r="F3" s="73" t="inlineStr">
        <is>
          <t>27</t>
        </is>
      </c>
      <c r="G3" s="73" t="inlineStr">
        <is>
          <t>2</t>
        </is>
      </c>
      <c r="H3" s="73" t="inlineStr">
        <is>
          <t>0</t>
        </is>
      </c>
      <c r="I3" s="73" t="inlineStr">
        <is>
          <t>1</t>
        </is>
      </c>
      <c r="J3" s="73" t="inlineStr">
        <is>
          <t>0</t>
        </is>
      </c>
      <c r="K3" s="73" t="inlineStr">
        <is>
          <t>5</t>
        </is>
      </c>
      <c r="L3" s="73" t="inlineStr">
        <is>
          <t>37</t>
        </is>
      </c>
      <c r="M3" s="73" t="inlineStr">
        <is>
          <t>Primera ronda de HU-18: pytest con BD real de test, FTP local real (pyftpdlib) y Playwright con Edge. Sin producción. Quedan DEF-04 (PP-190) y la regresión RG-05 a RG-09 pendiente.</t>
        </is>
      </c>
    </row>
    <row r="4" s="31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</row>
    <row r="5" s="31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</row>
    <row r="6" s="31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</row>
    <row r="41">
      <c r="A41" t="n">
        <v>2</v>
      </c>
      <c r="B41" t="inlineStr">
        <is>
          <t>HU-18</t>
        </is>
      </c>
      <c r="C41" t="inlineStr">
        <is>
          <t>30/10/2026</t>
        </is>
      </c>
      <c r="D41" t="inlineStr">
        <is>
          <t>27ac90a (qa-elliot, incluye dccdb60)</t>
        </is>
      </c>
      <c r="E41" t="n">
        <v>29</v>
      </c>
      <c r="F41" t="n">
        <v>29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37</v>
      </c>
      <c r="M41" t="inlineStr">
        <is>
          <t>Segunda ronda de HU-18: DEF-04 corregido por Jareth (dccdb60) y verificado con pytest (BD de test), FTP local real y regresión. Playwright no se reejecutó (sin cambios de UI). Quedan OBS-09, OBS-10 y OBS-13 (PO) y OBS-11 (Dev).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C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7" min="1" max="1"/>
    <col width="16" customWidth="1" style="27" min="2" max="3"/>
  </cols>
  <sheetData>
    <row r="1" ht="21" customFormat="1" customHeight="1" s="28">
      <c r="A1" s="94" t="inlineStr">
        <is>
          <t>Resumen de defectos</t>
        </is>
      </c>
      <c r="B1" s="57" t="n"/>
      <c r="C1" s="57" t="n"/>
    </row>
    <row r="2" s="31">
      <c r="A2" s="57" t="n"/>
      <c r="B2" s="57" t="n"/>
      <c r="C2" s="57" t="n"/>
    </row>
    <row r="3" ht="18.5" customHeight="1" s="31">
      <c r="A3" s="95" t="inlineStr">
        <is>
          <t>Se calcula solo. No escribir en esta hoja.</t>
        </is>
      </c>
      <c r="B3" s="57" t="n"/>
      <c r="C3" s="57" t="n"/>
    </row>
    <row r="4" s="31">
      <c r="A4" s="57" t="n"/>
      <c r="B4" s="57" t="n"/>
      <c r="C4" s="57" t="n"/>
    </row>
    <row r="5" ht="18.5" customHeight="1" s="31">
      <c r="A5" s="96" t="inlineStr">
        <is>
          <t>Indicador</t>
        </is>
      </c>
      <c r="B5" s="96" t="inlineStr">
        <is>
          <t>Cantidad</t>
        </is>
      </c>
      <c r="C5" s="96" t="inlineStr">
        <is>
          <t>% del total</t>
        </is>
      </c>
    </row>
    <row r="6" ht="18.5" customHeight="1" s="31">
      <c r="A6" s="97" t="inlineStr">
        <is>
          <t>Defectos registrados</t>
        </is>
      </c>
      <c r="B6" s="97">
        <f>COUNTIF(Defectos!B2:B200,"?*")</f>
        <v/>
      </c>
      <c r="C6" s="78" t="n"/>
    </row>
    <row r="7" ht="18.5" customHeight="1" s="31">
      <c r="A7" s="97" t="inlineStr">
        <is>
          <t>Severidad Crítica</t>
        </is>
      </c>
      <c r="B7" s="97">
        <f>COUNTIFS(Defectos!B2:B200,"?*",Defectos!F2:F200,"Crítica")</f>
        <v/>
      </c>
      <c r="C7" s="98">
        <f>IF(B6=0,0,B7/B6)</f>
        <v/>
      </c>
    </row>
    <row r="8" ht="18.5" customHeight="1" s="31">
      <c r="A8" s="97" t="inlineStr">
        <is>
          <t>Severidad Alta</t>
        </is>
      </c>
      <c r="B8" s="97">
        <f>COUNTIFS(Defectos!B2:B200,"?*",Defectos!F2:F200,"Alta")</f>
        <v/>
      </c>
      <c r="C8" s="98">
        <f>IF(B6=0,0,B8/B6)</f>
        <v/>
      </c>
    </row>
    <row r="9" ht="18.5" customHeight="1" s="31">
      <c r="A9" s="97" t="inlineStr">
        <is>
          <t>Severidad Media</t>
        </is>
      </c>
      <c r="B9" s="97">
        <f>COUNTIFS(Defectos!B2:B200,"?*",Defectos!F2:F200,"Media")</f>
        <v/>
      </c>
      <c r="C9" s="98">
        <f>IF(B6=0,0,B9/B6)</f>
        <v/>
      </c>
    </row>
    <row r="10" ht="18.5" customHeight="1" s="31">
      <c r="A10" s="97" t="inlineStr">
        <is>
          <t>Severidad Baja</t>
        </is>
      </c>
      <c r="B10" s="97">
        <f>COUNTIFS(Defectos!B2:B200,"?*",Defectos!F2:F200,"Baja")</f>
        <v/>
      </c>
      <c r="C10" s="98">
        <f>IF(B6=0,0,B10/B6)</f>
        <v/>
      </c>
    </row>
    <row r="11" s="31">
      <c r="A11" s="57" t="n"/>
      <c r="B11" s="57" t="n"/>
      <c r="C11" s="57" t="n"/>
    </row>
    <row r="12" ht="18.5" customHeight="1" s="31">
      <c r="A12" s="89" t="inlineStr">
        <is>
          <t>Por estado</t>
        </is>
      </c>
      <c r="B12" s="57" t="n"/>
      <c r="C12" s="57" t="n"/>
    </row>
    <row r="13" ht="18.5" customHeight="1" s="31">
      <c r="A13" s="96" t="inlineStr">
        <is>
          <t>Indicador</t>
        </is>
      </c>
      <c r="B13" s="96" t="inlineStr">
        <is>
          <t>Cantidad</t>
        </is>
      </c>
      <c r="C13" s="96" t="inlineStr">
        <is>
          <t>% del total</t>
        </is>
      </c>
    </row>
    <row r="14" ht="18.5" customHeight="1" s="31">
      <c r="A14" s="97" t="inlineStr">
        <is>
          <t>Defectos registrados</t>
        </is>
      </c>
      <c r="B14" s="97">
        <f>COUNTIF(Defectos!B2:B200,"?*")</f>
        <v/>
      </c>
      <c r="C14" s="78" t="n"/>
    </row>
    <row r="15" ht="18.5" customHeight="1" s="31">
      <c r="A15" s="97" t="inlineStr">
        <is>
          <t>Pendiente (sin asignar a un estado del ciclo)</t>
        </is>
      </c>
      <c r="B15" s="97">
        <f>COUNTIFS(Defectos!B2:B200,"?*",Defectos!P2:P200,"Pendiente")</f>
        <v/>
      </c>
      <c r="C15" s="98">
        <f>IF(B14=0,0,B15/B14)</f>
        <v/>
      </c>
    </row>
    <row r="16" ht="18.5" customHeight="1" s="31">
      <c r="A16" s="97" t="inlineStr">
        <is>
          <t>Nuevo</t>
        </is>
      </c>
      <c r="B16" s="97">
        <f>COUNTIFS(Defectos!B2:B200,"?*",Defectos!P2:P200,"Nuevo")</f>
        <v/>
      </c>
      <c r="C16" s="98">
        <f>IF(B14=0,0,B16/B14)</f>
        <v/>
      </c>
    </row>
    <row r="17" ht="18.5" customHeight="1" s="31">
      <c r="A17" s="97" t="inlineStr">
        <is>
          <t>Asignado</t>
        </is>
      </c>
      <c r="B17" s="97">
        <f>COUNTIFS(Defectos!B2:B200,"?*",Defectos!P2:P200,"Asignado")</f>
        <v/>
      </c>
      <c r="C17" s="98">
        <f>IF(B14=0,0,B17/B14)</f>
        <v/>
      </c>
    </row>
    <row r="18" ht="18.5" customHeight="1" s="31">
      <c r="A18" s="97" t="inlineStr">
        <is>
          <t>En corrección</t>
        </is>
      </c>
      <c r="B18" s="97">
        <f>COUNTIFS(Defectos!B2:B200,"?*",Defectos!P2:P200,"En corrección")</f>
        <v/>
      </c>
      <c r="C18" s="98">
        <f>IF(B14=0,0,B18/B14)</f>
        <v/>
      </c>
    </row>
    <row r="19" ht="18.5" customHeight="1" s="31">
      <c r="A19" s="97" t="inlineStr">
        <is>
          <t>Corregido</t>
        </is>
      </c>
      <c r="B19" s="97">
        <f>COUNTIFS(Defectos!B2:B200,"?*",Defectos!P2:P200,"Corregido")</f>
        <v/>
      </c>
      <c r="C19" s="98">
        <f>IF(B14=0,0,B19/B14)</f>
        <v/>
      </c>
    </row>
    <row r="20" ht="18.5" customHeight="1" s="31">
      <c r="A20" s="97" t="inlineStr">
        <is>
          <t>Cerrado</t>
        </is>
      </c>
      <c r="B20" s="97">
        <f>COUNTIFS(Defectos!B2:B200,"?*",Defectos!P2:P200,"Cerrado")</f>
        <v/>
      </c>
      <c r="C20" s="98">
        <f>IF(B14=0,0,B20/B14)</f>
        <v/>
      </c>
    </row>
    <row r="21" ht="18.5" customHeight="1" s="31">
      <c r="A21" s="97" t="inlineStr">
        <is>
          <t>Reabierto</t>
        </is>
      </c>
      <c r="B21" s="97">
        <f>COUNTIFS(Defectos!B2:B200,"?*",Defectos!P2:P200,"Reabierto")</f>
        <v/>
      </c>
      <c r="C21" s="98">
        <f>IF(B14=0,0,B21/B14)</f>
        <v/>
      </c>
    </row>
    <row r="22" ht="18.5" customHeight="1" s="31">
      <c r="A22" s="97" t="inlineStr">
        <is>
          <t>Rechazado</t>
        </is>
      </c>
      <c r="B22" s="97">
        <f>COUNTIFS(Defectos!B2:B200,"?*",Defectos!P2:P200,"Rechazado")</f>
        <v/>
      </c>
      <c r="C22" s="98">
        <f>IF(B14=0,0,B22/B14)</f>
        <v/>
      </c>
    </row>
    <row r="23" s="31">
      <c r="A23" s="57" t="n"/>
      <c r="B23" s="57" t="n"/>
      <c r="C23" s="57" t="n"/>
    </row>
    <row r="24" ht="19" customHeight="1" s="31">
      <c r="A24" s="89" t="inlineStr">
        <is>
          <t>Por historia</t>
        </is>
      </c>
      <c r="B24" s="57" t="n"/>
      <c r="C24" s="57" t="n"/>
    </row>
    <row r="25" ht="19" customHeight="1" s="31">
      <c r="A25" s="96" t="inlineStr">
        <is>
          <t>Indicador</t>
        </is>
      </c>
      <c r="B25" s="96" t="inlineStr">
        <is>
          <t>Cantidad</t>
        </is>
      </c>
      <c r="C25" s="96" t="inlineStr">
        <is>
          <t>% del total</t>
        </is>
      </c>
    </row>
    <row r="26" ht="19" customHeight="1" s="31">
      <c r="A26" s="97" t="inlineStr">
        <is>
          <t>Defectos registrados</t>
        </is>
      </c>
      <c r="B26" s="97">
        <f>COUNTIF(Defectos!B2:B200,"?*")</f>
        <v/>
      </c>
      <c r="C26" s="78" t="n"/>
    </row>
    <row r="27" ht="19" customHeight="1" s="31">
      <c r="A27" s="97" t="inlineStr">
        <is>
          <t>HT-06</t>
        </is>
      </c>
      <c r="B27" s="97">
        <f>COUNTIFS(Defectos!B2:B200,"?*",Defectos!C2:C200,LEFT($A27,FIND(" ",$A27&amp;" ")-1))</f>
        <v/>
      </c>
      <c r="C27" s="98">
        <f>IF(B26=0,0,B27/B26)</f>
        <v/>
      </c>
    </row>
    <row r="28" ht="19" customHeight="1" s="31">
      <c r="A28" s="97" t="inlineStr">
        <is>
          <t>HU-18</t>
        </is>
      </c>
      <c r="B28" s="97">
        <f>COUNTIFS(Defectos!B2:B200,"?*",Defectos!C2:C200,LEFT($A28,FIND(" ",$A28&amp;" ")-1))</f>
        <v/>
      </c>
      <c r="C28" s="98">
        <f>IF(B26=0,0,B28/B26)</f>
        <v/>
      </c>
    </row>
    <row r="29" ht="19" customHeight="1" s="31">
      <c r="A29" s="85" t="n"/>
      <c r="B29" s="85" t="n"/>
      <c r="C29" s="85" t="n"/>
    </row>
    <row r="30" ht="19" customHeight="1" s="31">
      <c r="A30" s="89" t="inlineStr">
        <is>
          <t>Abiertos que bloquean el cierre</t>
        </is>
      </c>
      <c r="B30" s="85" t="n"/>
      <c r="C30" s="85" t="n"/>
    </row>
    <row r="31" ht="19" customHeight="1" s="31">
      <c r="A31" s="96" t="inlineStr">
        <is>
          <t>Indicador</t>
        </is>
      </c>
      <c r="B31" s="96" t="inlineStr">
        <is>
          <t>Cantidad</t>
        </is>
      </c>
      <c r="C31" s="96" t="inlineStr">
        <is>
          <t>% del total</t>
        </is>
      </c>
    </row>
    <row r="32" ht="19" customHeight="1" s="31">
      <c r="A32" s="97" t="inlineStr">
        <is>
          <t>Críticos o Altos sin cerrar</t>
        </is>
      </c>
      <c r="B32" s="97">
        <f>SUMPRODUCT((Defectos!B2:B200&lt;&gt;"")*((Defectos!F2:F200="Crítica")+(Defectos!F2:F200="Alta"))*(Defectos!P2:P200&lt;&gt;"Cerrado")*(Defectos!P2:P200&lt;&gt;"Rechazado"))</f>
        <v/>
      </c>
      <c r="C32" s="99">
        <f>IF(B6=0,0,B32/B6)</f>
        <v/>
      </c>
    </row>
    <row r="33" ht="19" customHeight="1" s="31">
      <c r="A33" s="85" t="n"/>
      <c r="B33" s="85" t="n"/>
      <c r="C33" s="85" t="n"/>
    </row>
    <row r="34" ht="19" customHeight="1" s="31">
      <c r="A34" s="95" t="inlineStr">
        <is>
          <t>Un defecto cuenta como registrado cuando tiene ID y Título.</t>
        </is>
      </c>
      <c r="B34" s="85" t="n"/>
      <c r="C34" s="85" t="n"/>
    </row>
    <row r="35" ht="19" customHeight="1" s="31">
      <c r="A35" s="85" t="n"/>
      <c r="B35" s="85" t="n"/>
      <c r="C35" s="85" t="n"/>
    </row>
    <row r="36" ht="19" customHeight="1" s="31">
      <c r="A36" s="100" t="inlineStr">
        <is>
          <t>Criterio de cierre: ningún defecto Crítico o Alto abierto.</t>
        </is>
      </c>
      <c r="C36" s="102" t="n"/>
    </row>
    <row r="37" ht="19" customHeight="1" s="31">
      <c r="A37" s="85" t="n"/>
      <c r="B37" s="85" t="n"/>
      <c r="C37" s="85" t="n"/>
    </row>
    <row r="38" ht="19" customHeight="1" s="31">
      <c r="A38" s="89" t="inlineStr">
        <is>
          <t>Observaciones por estado</t>
        </is>
      </c>
      <c r="B38" s="85" t="n"/>
      <c r="C38" s="85" t="n"/>
    </row>
    <row r="39" ht="19" customHeight="1" s="31">
      <c r="A39" s="96" t="inlineStr">
        <is>
          <t>Indicador</t>
        </is>
      </c>
      <c r="B39" s="96" t="inlineStr">
        <is>
          <t>Cantidad</t>
        </is>
      </c>
      <c r="C39" s="96" t="inlineStr">
        <is>
          <t>% del total</t>
        </is>
      </c>
    </row>
    <row r="40" ht="19" customHeight="1" s="31">
      <c r="A40" s="97" t="inlineStr">
        <is>
          <t>Observaciones registradas</t>
        </is>
      </c>
      <c r="B40" s="97">
        <f>COUNTIF(Observaciones!A2:A200,"OBS-*")</f>
        <v/>
      </c>
      <c r="C40" s="85" t="n"/>
    </row>
    <row r="41" ht="19" customHeight="1" s="31">
      <c r="A41" s="97" t="inlineStr">
        <is>
          <t>Abiertas</t>
        </is>
      </c>
      <c r="B41" s="97">
        <f>COUNTIFS(Observaciones!A2:A200,"OBS-*",Observaciones!H2:H200,"Abierta")</f>
        <v/>
      </c>
      <c r="C41" s="98">
        <f>IF(B40=0,0,B41/B40)</f>
        <v/>
      </c>
    </row>
    <row r="42" ht="19" customHeight="1" s="31">
      <c r="A42" s="97" t="inlineStr">
        <is>
          <t>Aceptadas</t>
        </is>
      </c>
      <c r="B42" s="97">
        <f>COUNTIFS(Observaciones!A2:A200,"OBS-*",Observaciones!H2:H200,"Aceptada")</f>
        <v/>
      </c>
      <c r="C42" s="98">
        <f>IF(B40=0,0,B42/B40)</f>
        <v/>
      </c>
    </row>
    <row r="43" ht="19" customHeight="1" s="31">
      <c r="A43" s="97" t="inlineStr">
        <is>
          <t>Descartadas</t>
        </is>
      </c>
      <c r="B43" s="97">
        <f>COUNTIFS(Observaciones!A2:A200,"OBS-*",Observaciones!H2:H200,"Descartada")</f>
        <v/>
      </c>
      <c r="C43" s="98">
        <f>IF(B40=0,0,B43/B40)</f>
        <v/>
      </c>
    </row>
    <row r="44" ht="19" customHeight="1" s="31">
      <c r="A44" s="97" t="inlineStr">
        <is>
          <t>Trasladadas a Pendientes de entrega</t>
        </is>
      </c>
      <c r="B44" s="97">
        <f>COUNTIFS(Observaciones!A2:A200,"OBS-*",Observaciones!H2:H200,"Trasladada")</f>
        <v/>
      </c>
      <c r="C44" s="98">
        <f>IF(B40=0,0,B44/B40)</f>
        <v/>
      </c>
    </row>
    <row r="45" ht="19" customHeight="1" s="31">
      <c r="A45" s="85" t="n"/>
      <c r="B45" s="85" t="n"/>
      <c r="C45" s="85" t="n"/>
    </row>
    <row r="46" ht="19" customHeight="1" s="31">
      <c r="A46" s="89" t="inlineStr">
        <is>
          <t>Observaciones abiertas por responsable</t>
        </is>
      </c>
      <c r="B46" s="85" t="n"/>
      <c r="C46" s="85" t="n"/>
    </row>
    <row r="47" ht="19" customHeight="1" s="31">
      <c r="A47" s="96" t="inlineStr">
        <is>
          <t>Indicador</t>
        </is>
      </c>
      <c r="B47" s="96" t="inlineStr">
        <is>
          <t>Cantidad</t>
        </is>
      </c>
      <c r="C47" s="96" t="inlineStr">
        <is>
          <t>% del total</t>
        </is>
      </c>
    </row>
    <row r="48" ht="19" customHeight="1" s="31">
      <c r="A48" s="97" t="inlineStr">
        <is>
          <t>Abiertas</t>
        </is>
      </c>
      <c r="B48" s="97">
        <f>COUNTIFS(Observaciones!A2:A200,"OBS-*",Observaciones!H2:H200,"Abierta")</f>
        <v/>
      </c>
      <c r="C48" s="85" t="n"/>
    </row>
    <row r="49" ht="19" customHeight="1" s="31">
      <c r="A49" s="97" t="inlineStr">
        <is>
          <t>Esperan decisión del PO</t>
        </is>
      </c>
      <c r="B49" s="97">
        <f>COUNTIFS(Observaciones!H2:H200,"Abierta",Observaciones!K2:K200,"PO")</f>
        <v/>
      </c>
      <c r="C49" s="98">
        <f>IF(B48=0,0,B49/B48)</f>
        <v/>
      </c>
    </row>
    <row r="50" ht="19" customHeight="1" s="31">
      <c r="A50" s="97" t="inlineStr">
        <is>
          <t>Esperan al desarrollo</t>
        </is>
      </c>
      <c r="B50" s="97">
        <f>COUNTIFS(Observaciones!H2:H200,"Abierta",Observaciones!K2:K200,"Dev")</f>
        <v/>
      </c>
      <c r="C50" s="98">
        <f>IF(B48=0,0,B50/B48)</f>
        <v/>
      </c>
    </row>
    <row r="51" ht="19" customHeight="1" s="31">
      <c r="A51" s="97" t="inlineStr">
        <is>
          <t>Esperan a QA</t>
        </is>
      </c>
      <c r="B51" s="97">
        <f>COUNTIFS(Observaciones!H2:H200,"Abierta",Observaciones!K2:K200,"QA")</f>
        <v/>
      </c>
      <c r="C51" s="98">
        <f>IF(B48=0,0,B51/B48)</f>
        <v/>
      </c>
    </row>
    <row r="52" ht="19" customHeight="1" s="31">
      <c r="A52" s="85" t="n"/>
      <c r="B52" s="85" t="n"/>
      <c r="C52" s="85" t="n"/>
    </row>
    <row r="53" ht="19" customHeight="1" s="31">
      <c r="A53" s="89" t="inlineStr">
        <is>
          <t>Observaciones abiertas por tipo</t>
        </is>
      </c>
      <c r="B53" s="85" t="n"/>
      <c r="C53" s="85" t="n"/>
    </row>
    <row r="54" ht="19" customHeight="1" s="31">
      <c r="A54" s="96" t="inlineStr">
        <is>
          <t>Indicador</t>
        </is>
      </c>
      <c r="B54" s="96" t="inlineStr">
        <is>
          <t>Cantidad</t>
        </is>
      </c>
      <c r="C54" s="96" t="inlineStr">
        <is>
          <t>% del total</t>
        </is>
      </c>
    </row>
    <row r="55" ht="19" customHeight="1" s="31">
      <c r="A55" s="97" t="inlineStr">
        <is>
          <t>Abiertas</t>
        </is>
      </c>
      <c r="B55" s="97">
        <f>COUNTIFS(Observaciones!A2:A200,"OBS-*",Observaciones!H2:H200,"Abierta")</f>
        <v/>
      </c>
      <c r="C55" s="85" t="n"/>
    </row>
    <row r="56" ht="19" customHeight="1" s="31">
      <c r="A56" s="97" t="inlineStr">
        <is>
          <t>Decisión del PO</t>
        </is>
      </c>
      <c r="B56" s="97">
        <f>COUNTIFS(Observaciones!H2:H200,"Abierta",Observaciones!I2:I200,"Decisión del PO")</f>
        <v/>
      </c>
      <c r="C56" s="98">
        <f>IF(B55=0,0,B56/B55)</f>
        <v/>
      </c>
    </row>
    <row r="57" ht="19" customHeight="1" s="31">
      <c r="A57" s="97" t="inlineStr">
        <is>
          <t>Mejora técnica</t>
        </is>
      </c>
      <c r="B57" s="97">
        <f>COUNTIFS(Observaciones!H2:H200,"Abierta",Observaciones!I2:I200,"Mejora técnica")</f>
        <v/>
      </c>
      <c r="C57" s="98">
        <f>IF(B55=0,0,B57/B55)</f>
        <v/>
      </c>
    </row>
    <row r="58" ht="19" customHeight="1" s="31">
      <c r="A58" s="97" t="inlineStr">
        <is>
          <t>Cobertura pendiente</t>
        </is>
      </c>
      <c r="B58" s="97">
        <f>COUNTIFS(Observaciones!H2:H200,"Abierta",Observaciones!I2:I200,"Cobertura pendiente")</f>
        <v/>
      </c>
      <c r="C58" s="98">
        <f>IF(B55=0,0,B58/B55)</f>
        <v/>
      </c>
    </row>
    <row r="59" ht="19" customHeight="1" s="31">
      <c r="A59" s="97" t="inlineStr">
        <is>
          <t>Entorno</t>
        </is>
      </c>
      <c r="B59" s="97">
        <f>COUNTIFS(Observaciones!H2:H200,"Abierta",Observaciones!I2:I200,"Entorno")</f>
        <v/>
      </c>
      <c r="C59" s="98">
        <f>IF(B55=0,0,B59/B55)</f>
        <v/>
      </c>
    </row>
    <row r="60" ht="19" customHeight="1" s="31">
      <c r="A60" s="97" t="inlineStr">
        <is>
          <t>Confirmación</t>
        </is>
      </c>
      <c r="B60" s="97">
        <f>COUNTIFS(Observaciones!H2:H200,"Abierta",Observaciones!I2:I200,"Confirmación")</f>
        <v/>
      </c>
      <c r="C60" s="98">
        <f>IF(B55=0,0,B60/B55)</f>
        <v/>
      </c>
    </row>
    <row r="61" ht="19" customHeight="1" s="31">
      <c r="A61" s="97" t="inlineStr">
        <is>
          <t>Ajena a la HU</t>
        </is>
      </c>
      <c r="B61" s="97">
        <f>COUNTIFS(Observaciones!H2:H200,"Abierta",Observaciones!I2:I200,"Ajena a la HU")</f>
        <v/>
      </c>
      <c r="C61" s="98">
        <f>IF(B55=0,0,B61/B55)</f>
        <v/>
      </c>
    </row>
    <row r="62" ht="19" customHeight="1" s="31">
      <c r="A62" s="85" t="n"/>
      <c r="B62" s="85" t="n"/>
      <c r="C62" s="85" t="n"/>
    </row>
    <row r="63" ht="19" customHeight="1" s="31">
      <c r="A63" s="89" t="inlineStr">
        <is>
          <t>Pendientes de entrega</t>
        </is>
      </c>
      <c r="B63" s="85" t="n"/>
      <c r="C63" s="85" t="n"/>
    </row>
    <row r="64" ht="19" customHeight="1" s="31">
      <c r="A64" s="96" t="inlineStr">
        <is>
          <t>Indicador</t>
        </is>
      </c>
      <c r="B64" s="96" t="inlineStr">
        <is>
          <t>Cantidad</t>
        </is>
      </c>
      <c r="C64" s="96" t="inlineStr">
        <is>
          <t>% del total</t>
        </is>
      </c>
    </row>
    <row r="65" ht="19" customHeight="1" s="31">
      <c r="A65" s="97" t="inlineStr">
        <is>
          <t>Pendientes registrados</t>
        </is>
      </c>
      <c r="B65" s="97">
        <f>COUNTIF('Pendientes de entrega'!A2:A200,"PEN-*")</f>
        <v/>
      </c>
      <c r="C65" s="85" t="n"/>
    </row>
    <row r="66" ht="19" customHeight="1" s="31">
      <c r="A66" s="97" t="inlineStr">
        <is>
          <t>Sin entregar</t>
        </is>
      </c>
      <c r="B66" s="97">
        <f>COUNTIFS('Pendientes de entrega'!A2:A200,"PEN-*",'Pendientes de entrega'!G2:G200,"&lt;&gt;Entregada")</f>
        <v/>
      </c>
      <c r="C66" s="98">
        <f>IF(B65=0,0,B66/B65)</f>
        <v/>
      </c>
    </row>
    <row r="67" ht="19" customHeight="1" s="31">
      <c r="A67" s="97" t="inlineStr">
        <is>
          <t>Sin entregar que bloquean el cierre</t>
        </is>
      </c>
      <c r="B67" s="97">
        <f>COUNTIFS('Pendientes de entrega'!A2:A200,"PEN-*",'Pendientes de entrega'!G2:G200,"&lt;&gt;Entregada",'Pendientes de entrega'!I2:I200,"Sí")</f>
        <v/>
      </c>
      <c r="C67" s="98">
        <f>IF(B65=0,0,B67/B65)</f>
        <v/>
      </c>
    </row>
    <row r="68" ht="19" customHeight="1" s="31">
      <c r="A68" s="85" t="n"/>
      <c r="B68" s="85" t="n"/>
      <c r="C68" s="85" t="n"/>
    </row>
    <row r="69" ht="19" customHeight="1" s="31">
      <c r="A69" s="95" t="inlineStr">
        <is>
          <t>Una entrega pendiente no es un defecto: es una subtarea sin entregar. Bloquea el cierre de la HU, pero no cuenta en los defectos.</t>
        </is>
      </c>
      <c r="B69" s="85" t="n"/>
      <c r="C69" s="85" t="n"/>
    </row>
    <row r="70" ht="19" customHeight="1" s="31">
      <c r="A70" s="85" t="n"/>
      <c r="B70" s="85" t="n"/>
      <c r="C70" s="85" t="n"/>
    </row>
    <row r="71" ht="19" customHeight="1" s="31">
      <c r="A71" s="85" t="n"/>
      <c r="B71" s="85" t="n"/>
      <c r="C71" s="85" t="n"/>
    </row>
    <row r="72" ht="19" customHeight="1" s="31">
      <c r="A72" s="85" t="n"/>
      <c r="B72" s="85" t="n"/>
      <c r="C72" s="85" t="n"/>
    </row>
    <row r="73" ht="19" customHeight="1" s="31">
      <c r="A73" s="85" t="n"/>
      <c r="B73" s="85" t="n"/>
      <c r="C73" s="85" t="n"/>
    </row>
    <row r="74" ht="19" customHeight="1" s="31">
      <c r="A74" s="85" t="n"/>
      <c r="B74" s="85" t="n"/>
      <c r="C74" s="85" t="n"/>
    </row>
    <row r="75" ht="19" customHeight="1" s="31">
      <c r="A75" s="85" t="n"/>
      <c r="B75" s="85" t="n"/>
      <c r="C75" s="85" t="n"/>
    </row>
    <row r="76" ht="19" customHeight="1" s="31">
      <c r="A76" s="85" t="n"/>
      <c r="B76" s="85" t="n"/>
      <c r="C76" s="85" t="n"/>
    </row>
    <row r="77" ht="19" customHeight="1" s="31">
      <c r="A77" s="85" t="n"/>
      <c r="B77" s="85" t="n"/>
      <c r="C77" s="85" t="n"/>
    </row>
    <row r="78" ht="19" customHeight="1" s="31">
      <c r="A78" s="85" t="n"/>
      <c r="B78" s="85" t="n"/>
      <c r="C78" s="85" t="n"/>
    </row>
    <row r="79" ht="19" customHeight="1" s="31">
      <c r="A79" s="85" t="n"/>
      <c r="B79" s="85" t="n"/>
      <c r="C79" s="85" t="n"/>
    </row>
    <row r="80" ht="19" customHeight="1" s="31">
      <c r="A80" s="85" t="n"/>
      <c r="B80" s="85" t="n"/>
      <c r="C80" s="85" t="n"/>
    </row>
  </sheetData>
  <mergeCells count="1">
    <mergeCell ref="A36:C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2026-10-30T13:51:33Z</dcterms:modified>
  <cp:lastModifiedBy>Desarrollo Ceneris</cp:lastModifiedBy>
  <cp:revision>0</cp:revision>
</cp:coreProperties>
</file>