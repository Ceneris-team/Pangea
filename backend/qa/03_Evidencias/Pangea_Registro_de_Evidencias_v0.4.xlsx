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Resume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%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Segoe UI"/>
      <charset val="1"/>
      <family val="0"/>
      <b val="1"/>
      <color rgb="005E4B73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5E4B73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2"/>
      <color rgb="002A2F33"/>
      <sz val="11"/>
    </font>
    <font>
      <name val="Segoe UI"/>
      <charset val="1"/>
      <family val="0"/>
      <b val="1"/>
      <color rgb="005E4B73"/>
      <sz val="16"/>
    </font>
    <font>
      <name val="Segoe UI"/>
      <charset val="1"/>
      <family val="0"/>
      <color rgb="005F6870"/>
      <sz val="10"/>
    </font>
    <font>
      <name val="Segoe UI"/>
      <charset val="1"/>
      <family val="0"/>
      <sz val="10"/>
    </font>
  </fonts>
  <fills count="14">
    <fill>
      <patternFill/>
    </fill>
    <fill>
      <patternFill patternType="gray125"/>
    </fill>
    <fill>
      <patternFill patternType="solid">
        <fgColor rgb="FFDCE4F2"/>
        <bgColor rgb="FFDDEBF7"/>
      </patternFill>
    </fill>
    <fill>
      <patternFill patternType="solid">
        <fgColor rgb="FFF2F2F2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D9D9D9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00ECE8F1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E4E7EA"/>
      </patternFill>
    </fill>
    <fill>
      <patternFill patternType="solid">
        <fgColor rgb="005E4B73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  <border>
      <left/>
      <right style="thin">
        <color rgb="00D5DADE"/>
      </right>
      <top/>
      <bottom style="thin">
        <color rgb="00D5DADE"/>
      </bottom>
    </border>
    <border>
      <left/>
      <right/>
      <top/>
      <bottom style="thin">
        <color rgb="00D5DADE"/>
      </bottom>
    </border>
    <border>
      <left/>
      <right style="thin">
        <color rgb="00D5DADE"/>
      </right>
      <top/>
      <bottom/>
      <diagonal/>
    </border>
    <border>
      <left/>
      <right style="thin">
        <color rgb="00D5DADE"/>
      </right>
      <top/>
      <bottom style="thin">
        <color rgb="00D5DADE"/>
      </bottom>
      <diagonal/>
    </border>
    <border>
      <left/>
      <right/>
      <top/>
      <bottom style="thin">
        <color rgb="00D5DA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general" vertical="top" wrapText="1"/>
    </xf>
    <xf numFmtId="0" fontId="0" fillId="7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0" fillId="0" borderId="2" pivotButton="0" quotePrefix="0" xfId="0"/>
    <xf numFmtId="0" fontId="10" fillId="6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7" borderId="1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0" fillId="0" borderId="4" pivotButton="0" quotePrefix="0" xfId="0"/>
    <xf numFmtId="0" fontId="13" fillId="0" borderId="0" applyAlignment="1" pivotButton="0" quotePrefix="0" xfId="0">
      <alignment horizontal="general" vertical="top"/>
    </xf>
    <xf numFmtId="0" fontId="14" fillId="0" borderId="0" pivotButton="0" quotePrefix="0" xfId="0"/>
    <xf numFmtId="0" fontId="15" fillId="0" borderId="0" applyAlignment="1" pivotButton="0" quotePrefix="0" xfId="0">
      <alignment horizontal="general" vertical="top"/>
    </xf>
    <xf numFmtId="0" fontId="16" fillId="9" borderId="5" applyAlignment="1" pivotButton="0" quotePrefix="0" xfId="0">
      <alignment horizontal="general" vertical="top"/>
    </xf>
    <xf numFmtId="0" fontId="17" fillId="0" borderId="5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/>
    </xf>
    <xf numFmtId="0" fontId="16" fillId="0" borderId="5" applyAlignment="1" pivotButton="0" quotePrefix="0" xfId="0">
      <alignment horizontal="general" vertical="top"/>
    </xf>
    <xf numFmtId="0" fontId="16" fillId="10" borderId="5" applyAlignment="1" pivotButton="0" quotePrefix="0" xfId="0">
      <alignment horizontal="general" vertical="top"/>
    </xf>
    <xf numFmtId="0" fontId="16" fillId="11" borderId="5" applyAlignment="1" pivotButton="0" quotePrefix="0" xfId="0">
      <alignment horizontal="general" vertical="top"/>
    </xf>
    <xf numFmtId="0" fontId="16" fillId="12" borderId="5" applyAlignment="1" pivotButton="0" quotePrefix="0" xfId="0">
      <alignment horizontal="general" vertical="top"/>
    </xf>
    <xf numFmtId="0" fontId="19" fillId="0" borderId="6" applyAlignment="1" pivotButton="0" quotePrefix="0" xfId="0">
      <alignment horizontal="general" vertical="top" wrapText="1"/>
    </xf>
    <xf numFmtId="0" fontId="14" fillId="0" borderId="6" pivotButton="0" quotePrefix="0" xfId="0"/>
    <xf numFmtId="0" fontId="20" fillId="13" borderId="5" applyAlignment="1" pivotButton="0" quotePrefix="0" xfId="0">
      <alignment horizontal="center" vertical="top" wrapText="1"/>
    </xf>
    <xf numFmtId="0" fontId="21" fillId="0" borderId="5" applyAlignment="1" pivotButton="0" quotePrefix="0" xfId="0">
      <alignment horizontal="general" vertical="top" wrapText="1"/>
    </xf>
    <xf numFmtId="0" fontId="21" fillId="11" borderId="5" applyAlignment="1" pivotButton="0" quotePrefix="0" xfId="0">
      <alignment horizontal="general" vertical="top" wrapText="1"/>
    </xf>
    <xf numFmtId="0" fontId="14" fillId="0" borderId="5" applyAlignment="1" pivotButton="0" quotePrefix="0" xfId="0">
      <alignment horizontal="general" vertical="top" wrapText="1"/>
    </xf>
    <xf numFmtId="0" fontId="14" fillId="11" borderId="5" applyAlignment="1" pivotButton="0" quotePrefix="0" xfId="0">
      <alignment horizontal="general" vertical="top" wrapText="1"/>
    </xf>
    <xf numFmtId="0" fontId="22" fillId="0" borderId="0" applyAlignment="1" pivotButton="0" quotePrefix="0" xfId="0">
      <alignment horizontal="general" vertical="top"/>
    </xf>
    <xf numFmtId="0" fontId="23" fillId="0" borderId="0" applyAlignment="1" pivotButton="0" quotePrefix="0" xfId="0">
      <alignment horizontal="general" vertical="top"/>
    </xf>
    <xf numFmtId="0" fontId="20" fillId="13" borderId="5" applyAlignment="1" pivotButton="0" quotePrefix="0" xfId="0">
      <alignment horizontal="general" vertical="top"/>
    </xf>
    <xf numFmtId="0" fontId="17" fillId="0" borderId="5" applyAlignment="1" pivotButton="0" quotePrefix="0" xfId="0">
      <alignment horizontal="general" vertical="top"/>
    </xf>
    <xf numFmtId="0" fontId="14" fillId="0" borderId="5" applyAlignment="1" pivotButton="0" quotePrefix="0" xfId="0">
      <alignment horizontal="general" vertical="bottom"/>
    </xf>
    <xf numFmtId="165" fontId="17" fillId="0" borderId="5" applyAlignment="1" pivotButton="0" quotePrefix="0" xfId="0">
      <alignment horizontal="general" vertical="top"/>
    </xf>
    <xf numFmtId="165" fontId="24" fillId="0" borderId="5" applyAlignment="1" pivotButton="0" quotePrefix="0" xfId="0">
      <alignment horizontal="general" vertical="bottom"/>
    </xf>
    <xf numFmtId="0" fontId="23" fillId="0" borderId="6" applyAlignment="1" pivotButton="0" quotePrefix="0" xfId="0">
      <alignment horizontal="general" vertical="top"/>
    </xf>
    <xf numFmtId="0" fontId="14" fillId="0" borderId="7" pivotButton="0" quotePrefix="0" xfId="0"/>
    <xf numFmtId="0" fontId="0" fillId="0" borderId="9" pivotButton="0" quotePrefix="0" xfId="0"/>
    <xf numFmtId="0" fontId="0" fillId="0" borderId="1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4F2"/>
      <rgbColor rgb="FFC6EFCE"/>
      <rgbColor rgb="FFFFEB9C"/>
      <rgbColor rgb="FFF2F2F2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B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5" min="1" max="1"/>
    <col width="95" customWidth="1" style="25" min="2" max="2"/>
  </cols>
  <sheetData>
    <row r="1" ht="23.25" customHeight="1" s="26">
      <c r="A1" s="52" t="inlineStr">
        <is>
          <t>Registro de Evidencias</t>
        </is>
      </c>
      <c r="B1" s="53" t="n"/>
    </row>
    <row r="2" ht="18.5" customHeight="1" s="26">
      <c r="A2" s="54" t="inlineStr">
        <is>
          <t>Pangea (tablero PP)</t>
        </is>
      </c>
      <c r="B2" s="53" t="n"/>
    </row>
    <row r="3" s="26">
      <c r="A3" s="53" t="n"/>
      <c r="B3" s="53" t="n"/>
    </row>
    <row r="4" ht="18.5" customHeight="1" s="26">
      <c r="A4" s="55" t="inlineStr">
        <is>
          <t>Entregable</t>
        </is>
      </c>
      <c r="B4" s="56" t="inlineStr">
        <is>
          <t>Matriz de Responsabilidades de Documentación - rol Aseguramiento de Calidad (QA)</t>
        </is>
      </c>
    </row>
    <row r="5" ht="33" customHeight="1" s="26">
      <c r="A5" s="55" t="inlineStr">
        <is>
          <t>Documentos que cubre</t>
        </is>
      </c>
      <c r="B5" s="56" t="inlineStr">
        <is>
          <t>Indice de informes y registros que respaldan los casos de prueba de HT-06, HU-18 y HU-26 del tablero PP.</t>
        </is>
      </c>
    </row>
    <row r="6" ht="18.5" customHeight="1" s="26">
      <c r="A6" s="55" t="inlineStr">
        <is>
          <t>Responsable</t>
        </is>
      </c>
      <c r="B6" s="56" t="inlineStr">
        <is>
          <t>Elliot (JS en Jira), QA / Tester</t>
        </is>
      </c>
    </row>
    <row r="7" ht="18.5" customHeight="1" s="26">
      <c r="A7" s="55" t="inlineStr">
        <is>
          <t>Versión</t>
        </is>
      </c>
      <c r="B7" s="56" t="inlineStr">
        <is>
          <t>0.4</t>
        </is>
      </c>
    </row>
    <row r="8" ht="33" customHeight="1" s="26">
      <c r="A8" s="55" t="inlineStr">
        <is>
          <t>Fecha de elaboración</t>
        </is>
      </c>
      <c r="B8" s="56" t="inlineStr">
        <is>
          <t>30/10/2026 · Ronda 1 de HT-06, ronda 2 de HU-18 y ronda 1 de HU-26</t>
        </is>
      </c>
    </row>
    <row r="9" ht="18.5" customHeight="1" s="26">
      <c r="A9" s="55" t="inlineStr">
        <is>
          <t>Estado</t>
        </is>
      </c>
      <c r="B9" s="56" t="inlineStr">
        <is>
          <t>Borrador (X)     En revisión ( )     Aprobado ( )</t>
        </is>
      </c>
    </row>
    <row r="10" ht="18.5" customHeight="1" s="26">
      <c r="A10" s="55" t="inlineStr">
        <is>
          <t>Aprobado por</t>
        </is>
      </c>
      <c r="B10" s="56" t="inlineStr">
        <is>
          <t>Scrum Master  /  Product Owner de Pangea</t>
        </is>
      </c>
    </row>
    <row r="11" s="26">
      <c r="A11" s="53" t="n"/>
      <c r="B11" s="53" t="n"/>
    </row>
    <row r="12" ht="18.5" customHeight="1" s="26">
      <c r="A12" s="57" t="inlineStr">
        <is>
          <t>Cómo se usa este libro</t>
        </is>
      </c>
      <c r="B12" s="53" t="n"/>
    </row>
    <row r="13" s="26">
      <c r="A13" s="53" t="n"/>
      <c r="B13" s="53" t="n"/>
    </row>
    <row r="14" ht="47.5" customHeight="1" s="26">
      <c r="A14" s="58" t="inlineStr">
        <is>
          <t>Registro</t>
        </is>
      </c>
      <c r="B14" s="56" t="inlineStr">
        <is>
          <t>Una fila por archivo. EV-CP-0xx es la evidencia del caso CP-0xx (EV-CP-0xx-02, -03… si tiene más de una). Los informes que respaldan muchos casos a la vez usan EV-&lt;HU&gt;-INF-xx. Se registran evidencias de los casos aprobados y de los fallidos.</t>
        </is>
      </c>
    </row>
    <row r="15" ht="33" customHeight="1" s="26">
      <c r="A15" s="58" t="inlineStr">
        <is>
          <t>Nombre de archivo</t>
        </is>
      </c>
      <c r="B15" s="56" t="inlineStr">
        <is>
          <t>EV-CP-0xx_&lt;descripcion-corta&gt;.&lt;ext&gt;   ej.: EV-CP-001_lista-usuarios.png · informes: EV-HU01-INF-03_captura-informe-pytest.png</t>
        </is>
      </c>
    </row>
    <row r="16" ht="18.5" customHeight="1" s="26">
      <c r="A16" s="58" t="inlineStr">
        <is>
          <t>Carpetas</t>
        </is>
      </c>
      <c r="B16" s="56" t="inlineStr">
        <is>
          <t>03_Evidencias / &lt;HU&gt; /   ej.: QA/03_Evidencias/HU-01/EV-CP-001_lista-usuarios.png</t>
        </is>
      </c>
    </row>
    <row r="17" ht="62" customHeight="1" s="26">
      <c r="A17" s="58" t="inlineStr">
        <is>
          <t>Qué debe verse</t>
        </is>
      </c>
      <c r="B17" s="56" t="inlineStr">
        <is>
          <t>Fecha y hora del sistema, usuario con sesión iniciada, URL o pantalla y el resultado. En pruebas de API: petición y respuesta completas. Las capturas de Playwright muestran el usuario con sesión pero no la URL ni la hora; la hora exacta va en la columna Fecha y hora, tomada del informe. Tamaño y SHA-256 permiten comprobar que el archivo no cambió.</t>
        </is>
      </c>
    </row>
    <row r="18" ht="18.5" customHeight="1" s="26">
      <c r="A18" s="58" t="inlineStr">
        <is>
          <t>Videos</t>
        </is>
      </c>
      <c r="B18" s="56" t="inlineStr">
        <is>
          <t>MP4, máximo 3 minutos, sin datos personales reales. Para E2E y casos críticos.</t>
        </is>
      </c>
    </row>
    <row r="19" ht="18.5" customHeight="1" s="26">
      <c r="A19" s="58" t="inlineStr">
        <is>
          <t>Resumen</t>
        </is>
      </c>
      <c r="B19" s="56" t="inlineStr">
        <is>
          <t>Se calcula solo. No escribir en ella.</t>
        </is>
      </c>
    </row>
    <row r="20" s="26">
      <c r="A20" s="53" t="n"/>
      <c r="B20" s="53" t="n"/>
    </row>
    <row r="21" ht="18.5" customHeight="1" s="26">
      <c r="A21" s="57" t="inlineStr">
        <is>
          <t>Leyenda de Estado de la evidencia</t>
        </is>
      </c>
      <c r="B21" s="53" t="n"/>
    </row>
    <row r="22" s="26">
      <c r="A22" s="53" t="n"/>
      <c r="B22" s="53" t="n"/>
    </row>
    <row r="23" ht="18.5" customHeight="1" s="26">
      <c r="A23" s="59" t="inlineStr">
        <is>
          <t>Pendiente</t>
        </is>
      </c>
      <c r="B23" s="56" t="inlineStr">
        <is>
          <t>Registrada en esta hoja, pero el archivo aún no está en su carpeta.</t>
        </is>
      </c>
    </row>
    <row r="24" ht="18.5" customHeight="1" s="26">
      <c r="A24" s="60" t="inlineStr">
        <is>
          <t>Adjuntada</t>
        </is>
      </c>
      <c r="B24" s="56" t="inlineStr">
        <is>
          <t>El archivo está en la carpeta indicada en Ubicación, con el nombre correcto.</t>
        </is>
      </c>
    </row>
    <row r="25" ht="18.5" customHeight="1" s="26">
      <c r="A25" s="61" t="inlineStr">
        <is>
          <t>No aplica</t>
        </is>
      </c>
      <c r="B25" s="56" t="inlineStr">
        <is>
          <t>El caso no se ejecutó (Bloqueado / No aplica).</t>
        </is>
      </c>
    </row>
    <row r="26" s="26">
      <c r="A26" s="53" t="n"/>
      <c r="B26" s="53" t="n"/>
    </row>
    <row r="27" ht="62" customHeight="1" s="26">
      <c r="A27" s="62" t="n"/>
      <c r="B27" s="78" t="n"/>
    </row>
  </sheetData>
  <mergeCells count="1">
    <mergeCell ref="A27:B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O1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5" customWidth="1" style="26" min="1" max="1"/>
    <col width="9" customWidth="1" style="26" min="2" max="2"/>
    <col width="9" customWidth="1" style="26" min="3" max="3"/>
    <col width="14" customWidth="1" style="26" min="4" max="4"/>
    <col width="58" customWidth="1" style="26" min="5" max="5"/>
    <col width="40" customWidth="1" style="26" min="6" max="6"/>
    <col width="24" customWidth="1" style="26" min="7" max="7"/>
    <col width="12" customWidth="1" style="26" min="8" max="8"/>
    <col width="17" customWidth="1" style="26" min="9" max="9"/>
    <col width="10" customWidth="1" style="26" min="10" max="10"/>
    <col width="30" customWidth="1" style="26" min="11" max="11"/>
    <col width="12" customWidth="1" style="26" min="12" max="12"/>
    <col width="12" customWidth="1" style="26" min="13" max="13"/>
    <col width="13" customWidth="1" style="26" min="14" max="14"/>
    <col width="30" customWidth="1" style="26" min="15" max="15"/>
  </cols>
  <sheetData>
    <row r="1" ht="33" customHeight="1" s="26">
      <c r="A1" s="64" t="inlineStr">
        <is>
          <t>ID evidencia</t>
        </is>
      </c>
      <c r="B1" s="64" t="inlineStr">
        <is>
          <t>Caso</t>
        </is>
      </c>
      <c r="C1" s="64" t="inlineStr">
        <is>
          <t>Historia</t>
        </is>
      </c>
      <c r="D1" s="64" t="inlineStr">
        <is>
          <t>Tipo</t>
        </is>
      </c>
      <c r="E1" s="64" t="inlineStr">
        <is>
          <t>Qué muestra</t>
        </is>
      </c>
      <c r="F1" s="64" t="inlineStr">
        <is>
          <t>Nombre de archivo</t>
        </is>
      </c>
      <c r="G1" s="64" t="inlineStr">
        <is>
          <t>Ubicación</t>
        </is>
      </c>
      <c r="H1" s="64" t="inlineStr">
        <is>
          <t>Capturado por</t>
        </is>
      </c>
      <c r="I1" s="64" t="inlineStr">
        <is>
          <t>Fecha y hora (Lima)</t>
        </is>
      </c>
      <c r="J1" s="64" t="inlineStr">
        <is>
          <t>Tamaño (KB)</t>
        </is>
      </c>
      <c r="K1" s="64" t="inlineStr">
        <is>
          <t>SHA-256</t>
        </is>
      </c>
      <c r="L1" s="64" t="inlineStr">
        <is>
          <t>Commit probado</t>
        </is>
      </c>
      <c r="M1" s="64" t="inlineStr">
        <is>
          <t>Estado</t>
        </is>
      </c>
      <c r="N1" s="64" t="inlineStr">
        <is>
          <t>Resultado del caso</t>
        </is>
      </c>
      <c r="O1" s="64" t="inlineStr">
        <is>
          <t>Por qué falló (si falló)</t>
        </is>
      </c>
    </row>
    <row r="2" ht="67.8" customFormat="1" customHeight="1" s="39">
      <c r="A2" s="65" t="inlineStr">
        <is>
          <t>EV-CP-001</t>
        </is>
      </c>
      <c r="B2" s="65" t="inlineStr">
        <is>
          <t>CP-001</t>
        </is>
      </c>
      <c r="C2" s="65" t="inlineStr">
        <is>
          <t>HT-06</t>
        </is>
      </c>
      <c r="D2" s="65" t="inlineStr">
        <is>
          <t>Fila de informe</t>
        </is>
      </c>
      <c r="E2" s="65" t="inlineStr">
        <is>
          <t>Fila de test_ca1_dockerfile_api_existe_y_arranca_uvicorn</t>
        </is>
      </c>
      <c r="F2" s="65" t="inlineStr">
        <is>
          <t>pytest_ht06_local.html</t>
        </is>
      </c>
      <c r="G2" s="65" t="inlineStr">
        <is>
          <t>backend/qa/03_Evidencias/HT-06/</t>
        </is>
      </c>
      <c r="H2" s="65" t="inlineStr">
        <is>
          <t>QA</t>
        </is>
      </c>
      <c r="I2" s="65" t="inlineStr">
        <is>
          <t>28/10/2026 13:36</t>
        </is>
      </c>
      <c r="J2" s="65" t="n">
        <v>56</v>
      </c>
      <c r="K2" s="65" t="inlineStr">
        <is>
          <t>a7aa461462fa68405d9f58a5e0e678027a3ab06fb155e0febc37f348b3ed7653</t>
        </is>
      </c>
      <c r="L2" s="65" t="inlineStr">
        <is>
          <t>bc5b89a (qa-elliot)</t>
        </is>
      </c>
      <c r="M2" s="66" t="inlineStr">
        <is>
          <t>Adjuntada</t>
        </is>
      </c>
      <c r="N2" s="66" t="inlineStr">
        <is>
          <t>Aprobado</t>
        </is>
      </c>
      <c r="O2" s="65" t="n"/>
    </row>
    <row r="3" ht="67.8" customFormat="1" customHeight="1" s="39">
      <c r="A3" s="65" t="inlineStr">
        <is>
          <t>EV-CP-002</t>
        </is>
      </c>
      <c r="B3" s="65" t="inlineStr">
        <is>
          <t>CP-002</t>
        </is>
      </c>
      <c r="C3" s="65" t="inlineStr">
        <is>
          <t>HT-06</t>
        </is>
      </c>
      <c r="D3" s="65" t="inlineStr">
        <is>
          <t>Fila de informe</t>
        </is>
      </c>
      <c r="E3" s="65" t="inlineStr">
        <is>
          <t>Fila de test_ca1_containers_api_worker_beat_separados</t>
        </is>
      </c>
      <c r="F3" s="65" t="inlineStr">
        <is>
          <t>pytest_ht06_local.html</t>
        </is>
      </c>
      <c r="G3" s="65" t="inlineStr">
        <is>
          <t>backend/qa/03_Evidencias/HT-06/</t>
        </is>
      </c>
      <c r="H3" s="65" t="inlineStr">
        <is>
          <t>QA</t>
        </is>
      </c>
      <c r="I3" s="65" t="inlineStr">
        <is>
          <t>28/10/2026 13:36</t>
        </is>
      </c>
      <c r="J3" s="65" t="n">
        <v>56</v>
      </c>
      <c r="K3" s="65" t="inlineStr">
        <is>
          <t>a7aa461462fa68405d9f58a5e0e678027a3ab06fb155e0febc37f348b3ed7653</t>
        </is>
      </c>
      <c r="L3" s="65" t="inlineStr">
        <is>
          <t>bc5b89a (qa-elliot)</t>
        </is>
      </c>
      <c r="M3" s="66" t="inlineStr">
        <is>
          <t>Adjuntada</t>
        </is>
      </c>
      <c r="N3" s="66" t="inlineStr">
        <is>
          <t>Aprobado</t>
        </is>
      </c>
      <c r="O3" s="65" t="n"/>
    </row>
    <row r="4" ht="51.9" customFormat="1" customHeight="1" s="39">
      <c r="A4" s="65" t="inlineStr">
        <is>
          <t>EV-CP-003</t>
        </is>
      </c>
      <c r="B4" s="65" t="inlineStr">
        <is>
          <t>CP-003</t>
        </is>
      </c>
      <c r="C4" s="65" t="inlineStr">
        <is>
          <t>HT-06</t>
        </is>
      </c>
      <c r="D4" s="65" t="inlineStr">
        <is>
          <t>Log</t>
        </is>
      </c>
      <c r="E4" s="65" t="inlineStr">
        <is>
          <t>Despliegue activo del Container Service</t>
        </is>
      </c>
      <c r="F4" s="65" t="inlineStr">
        <is>
          <t>lightsail_verificacion_resumen.txt</t>
        </is>
      </c>
      <c r="G4" s="65" t="inlineStr">
        <is>
          <t>backend/qa/03_Evidencias/HT-06/</t>
        </is>
      </c>
      <c r="H4" s="65" t="inlineStr">
        <is>
          <t>QA</t>
        </is>
      </c>
      <c r="I4" s="65" t="inlineStr">
        <is>
          <t>28/10/2026 11:30</t>
        </is>
      </c>
      <c r="J4" s="65" t="n">
        <v>2.4</v>
      </c>
      <c r="K4" s="65" t="inlineStr">
        <is>
          <t>b1f78e7ef3a587a51f884d6a922dca206b99b395936d9815f30fcb22fa875818</t>
        </is>
      </c>
      <c r="L4" s="65" t="inlineStr">
        <is>
          <t>imagen api-b948aac.16</t>
        </is>
      </c>
      <c r="M4" s="66" t="inlineStr">
        <is>
          <t>Adjuntada</t>
        </is>
      </c>
      <c r="N4" s="66" t="inlineStr">
        <is>
          <t>Aprobado</t>
        </is>
      </c>
      <c r="O4" s="65" t="n"/>
    </row>
    <row r="5" ht="67.8" customFormat="1" customHeight="1" s="39">
      <c r="A5" s="65" t="inlineStr">
        <is>
          <t>EV-CP-004</t>
        </is>
      </c>
      <c r="B5" s="65" t="inlineStr">
        <is>
          <t>CP-004</t>
        </is>
      </c>
      <c r="C5" s="65" t="inlineStr">
        <is>
          <t>HT-06</t>
        </is>
      </c>
      <c r="D5" s="65" t="inlineStr">
        <is>
          <t>Log</t>
        </is>
      </c>
      <c r="E5" s="65" t="inlineStr">
        <is>
          <t>Contenedores arriba y errores de autenticacion del worker</t>
        </is>
      </c>
      <c r="F5" s="65" t="inlineStr">
        <is>
          <t>docker_local_ca1.txt</t>
        </is>
      </c>
      <c r="G5" s="65" t="inlineStr">
        <is>
          <t>backend/qa/03_Evidencias/HT-06/</t>
        </is>
      </c>
      <c r="H5" s="65" t="inlineStr">
        <is>
          <t>QA</t>
        </is>
      </c>
      <c r="I5" s="65" t="inlineStr">
        <is>
          <t>28/10/2026 11:09</t>
        </is>
      </c>
      <c r="J5" s="65" t="n">
        <v>1.3</v>
      </c>
      <c r="K5" s="65" t="inlineStr">
        <is>
          <t>0c751d61642728f215c14450bd172df9fdb96904bd41c415db9316c55ada782b</t>
        </is>
      </c>
      <c r="L5" s="65" t="inlineStr">
        <is>
          <t>bc5b89a (qa-elliot)</t>
        </is>
      </c>
      <c r="M5" s="66" t="inlineStr">
        <is>
          <t>Adjuntada</t>
        </is>
      </c>
      <c r="N5" s="66" t="inlineStr">
        <is>
          <t>Fallido</t>
        </is>
      </c>
      <c r="O5" s="65" t="inlineStr">
        <is>
          <t>Los 3 contenedores arrancan y la API responde 200, pero el worker falla en cada tarea con 'password authentication failed for user pangea'</t>
        </is>
      </c>
    </row>
    <row r="6" ht="51.9" customFormat="1" customHeight="1" s="39">
      <c r="A6" s="65" t="inlineStr">
        <is>
          <t>EV-CP-005</t>
        </is>
      </c>
      <c r="B6" s="65" t="inlineStr">
        <is>
          <t>CP-005</t>
        </is>
      </c>
      <c r="C6" s="65" t="inlineStr">
        <is>
          <t>HT-06</t>
        </is>
      </c>
      <c r="D6" s="65" t="inlineStr">
        <is>
          <t>Fila de informe</t>
        </is>
      </c>
      <c r="E6" s="65" t="inlineStr">
        <is>
          <t>Fila de test_ca1_receptor_ftp_tcp_en_contenedor_propio (OBS-01, PEN-01)</t>
        </is>
      </c>
      <c r="F6" s="65" t="inlineStr">
        <is>
          <t>pytest_ht06_local.html</t>
        </is>
      </c>
      <c r="G6" s="65" t="inlineStr">
        <is>
          <t>backend/qa/03_Evidencias/HT-06/</t>
        </is>
      </c>
      <c r="H6" s="65" t="inlineStr">
        <is>
          <t>QA</t>
        </is>
      </c>
      <c r="I6" s="65" t="inlineStr">
        <is>
          <t>28/10/2026 13:36</t>
        </is>
      </c>
      <c r="J6" s="65" t="n">
        <v>56</v>
      </c>
      <c r="K6" s="65" t="inlineStr">
        <is>
          <t>a7aa461462fa68405d9f58a5e0e678027a3ab06fb155e0febc37f348b3ed7653</t>
        </is>
      </c>
      <c r="L6" s="65" t="inlineStr">
        <is>
          <t>bc5b89a (qa-elliot)</t>
        </is>
      </c>
      <c r="M6" s="66" t="inlineStr">
        <is>
          <t>Adjuntada</t>
        </is>
      </c>
      <c r="N6" s="66" t="inlineStr">
        <is>
          <t>Bloqueado</t>
        </is>
      </c>
      <c r="O6" s="65" t="inlineStr">
        <is>
          <t>No se ejecuto: No existe contenedor de receptor FTP/TCP; la ingesta usa sondeo desde Celery. Queda por decidir si ese diseno reemplaza al receptor</t>
        </is>
      </c>
    </row>
    <row r="7" ht="51.9" customFormat="1" customHeight="1" s="39">
      <c r="A7" s="65" t="inlineStr">
        <is>
          <t>EV-CP-006</t>
        </is>
      </c>
      <c r="B7" s="65" t="inlineStr">
        <is>
          <t>CP-006</t>
        </is>
      </c>
      <c r="C7" s="65" t="inlineStr">
        <is>
          <t>HT-06</t>
        </is>
      </c>
      <c r="D7" s="65" t="inlineStr">
        <is>
          <t>Log</t>
        </is>
      </c>
      <c r="E7" s="65" t="inlineStr">
        <is>
          <t>Base de datos con acceso publico</t>
        </is>
      </c>
      <c r="F7" s="65" t="inlineStr">
        <is>
          <t>lightsail_verificacion_resumen.txt</t>
        </is>
      </c>
      <c r="G7" s="65" t="inlineStr">
        <is>
          <t>backend/qa/03_Evidencias/HT-06/</t>
        </is>
      </c>
      <c r="H7" s="65" t="inlineStr">
        <is>
          <t>QA</t>
        </is>
      </c>
      <c r="I7" s="65" t="inlineStr">
        <is>
          <t>28/10/2026 11:30</t>
        </is>
      </c>
      <c r="J7" s="65" t="n">
        <v>2.4</v>
      </c>
      <c r="K7" s="65" t="inlineStr">
        <is>
          <t>b1f78e7ef3a587a51f884d6a922dca206b99b395936d9815f30fcb22fa875818</t>
        </is>
      </c>
      <c r="L7" s="65" t="inlineStr">
        <is>
          <t>BD pangea-db</t>
        </is>
      </c>
      <c r="M7" s="66" t="inlineStr">
        <is>
          <t>Adjuntada</t>
        </is>
      </c>
      <c r="N7" s="66" t="inlineStr">
        <is>
          <t>Fallido</t>
        </is>
      </c>
      <c r="O7" s="65" t="inlineStr">
        <is>
          <t>publiclyAccessible = True</t>
        </is>
      </c>
    </row>
    <row r="8" ht="51.9" customFormat="1" customHeight="1" s="39">
      <c r="A8" s="65" t="inlineStr">
        <is>
          <t>EV-CP-007</t>
        </is>
      </c>
      <c r="B8" s="65" t="inlineStr">
        <is>
          <t>CP-007</t>
        </is>
      </c>
      <c r="C8" s="65" t="inlineStr">
        <is>
          <t>HT-06</t>
        </is>
      </c>
      <c r="D8" s="65" t="inlineStr">
        <is>
          <t>Log</t>
        </is>
      </c>
      <c r="E8" s="65" t="inlineStr">
        <is>
          <t>Conexion TCP abierta desde fuera</t>
        </is>
      </c>
      <c r="F8" s="65" t="inlineStr">
        <is>
          <t>lightsail_verificacion_resumen.txt</t>
        </is>
      </c>
      <c r="G8" s="65" t="inlineStr">
        <is>
          <t>backend/qa/03_Evidencias/HT-06/</t>
        </is>
      </c>
      <c r="H8" s="65" t="inlineStr">
        <is>
          <t>QA</t>
        </is>
      </c>
      <c r="I8" s="65" t="inlineStr">
        <is>
          <t>28/10/2026 11:30</t>
        </is>
      </c>
      <c r="J8" s="65" t="n">
        <v>2.4</v>
      </c>
      <c r="K8" s="65" t="inlineStr">
        <is>
          <t>b1f78e7ef3a587a51f884d6a922dca206b99b395936d9815f30fcb22fa875818</t>
        </is>
      </c>
      <c r="L8" s="65" t="inlineStr">
        <is>
          <t>BD pangea-db</t>
        </is>
      </c>
      <c r="M8" s="66" t="inlineStr">
        <is>
          <t>Adjuntada</t>
        </is>
      </c>
      <c r="N8" s="66" t="inlineStr">
        <is>
          <t>Fallido</t>
        </is>
      </c>
      <c r="O8" s="65" t="inlineStr">
        <is>
          <t>La conexion queda abierta desde internet</t>
        </is>
      </c>
    </row>
    <row r="9" ht="67.8" customFormat="1" customHeight="1" s="39">
      <c r="A9" s="65" t="inlineStr">
        <is>
          <t>EV-CP-008</t>
        </is>
      </c>
      <c r="B9" s="65" t="inlineStr">
        <is>
          <t>CP-008</t>
        </is>
      </c>
      <c r="C9" s="65" t="inlineStr">
        <is>
          <t>HT-06</t>
        </is>
      </c>
      <c r="D9" s="65" t="inlineStr">
        <is>
          <t>Fila de informe</t>
        </is>
      </c>
      <c r="E9" s="65" t="inlineStr">
        <is>
          <t>Fila de test_ca2_documentado_modo_privado</t>
        </is>
      </c>
      <c r="F9" s="65" t="inlineStr">
        <is>
          <t>pytest_ht06_local.html</t>
        </is>
      </c>
      <c r="G9" s="65" t="inlineStr">
        <is>
          <t>backend/qa/03_Evidencias/HT-06/</t>
        </is>
      </c>
      <c r="H9" s="65" t="inlineStr">
        <is>
          <t>QA</t>
        </is>
      </c>
      <c r="I9" s="65" t="inlineStr">
        <is>
          <t>28/10/2026 13:36</t>
        </is>
      </c>
      <c r="J9" s="65" t="n">
        <v>56</v>
      </c>
      <c r="K9" s="65" t="inlineStr">
        <is>
          <t>a7aa461462fa68405d9f58a5e0e678027a3ab06fb155e0febc37f348b3ed7653</t>
        </is>
      </c>
      <c r="L9" s="65" t="inlineStr">
        <is>
          <t>bc5b89a (qa-elliot)</t>
        </is>
      </c>
      <c r="M9" s="66" t="inlineStr">
        <is>
          <t>Adjuntada</t>
        </is>
      </c>
      <c r="N9" s="66" t="inlineStr">
        <is>
          <t>Fallido</t>
        </is>
      </c>
      <c r="O9" s="65" t="inlineStr">
        <is>
          <t>No hay documentacion del modo privado</t>
        </is>
      </c>
    </row>
    <row r="10" ht="67.8" customHeight="1" s="26">
      <c r="A10" s="65" t="inlineStr">
        <is>
          <t>EV-CP-009</t>
        </is>
      </c>
      <c r="B10" s="65" t="inlineStr">
        <is>
          <t>CP-009</t>
        </is>
      </c>
      <c r="C10" s="65" t="inlineStr">
        <is>
          <t>HT-06</t>
        </is>
      </c>
      <c r="D10" s="65" t="inlineStr">
        <is>
          <t>Log</t>
        </is>
      </c>
      <c r="E10" s="65" t="inlineStr">
        <is>
          <t>Bucket pangea-storage-prod</t>
        </is>
      </c>
      <c r="F10" s="65" t="inlineStr">
        <is>
          <t>lightsail_verificacion_resumen.txt</t>
        </is>
      </c>
      <c r="G10" s="65" t="inlineStr">
        <is>
          <t>backend/qa/03_Evidencias/HT-06/</t>
        </is>
      </c>
      <c r="H10" s="65" t="inlineStr">
        <is>
          <t>QA</t>
        </is>
      </c>
      <c r="I10" s="65" t="inlineStr">
        <is>
          <t>28/10/2026 11:30</t>
        </is>
      </c>
      <c r="J10" s="65" t="n">
        <v>2.4</v>
      </c>
      <c r="K10" s="65" t="inlineStr">
        <is>
          <t>b1f78e7ef3a587a51f884d6a922dca206b99b395936d9815f30fcb22fa875818</t>
        </is>
      </c>
      <c r="L10" s="65" t="inlineStr">
        <is>
          <t>bucket pangea-storage-prod</t>
        </is>
      </c>
      <c r="M10" s="66" t="inlineStr">
        <is>
          <t>Adjuntada</t>
        </is>
      </c>
      <c r="N10" s="66" t="inlineStr">
        <is>
          <t>Aprobado</t>
        </is>
      </c>
      <c r="O10" s="65" t="n"/>
    </row>
    <row r="11" ht="51.9" customHeight="1" s="26">
      <c r="A11" s="65" t="inlineStr">
        <is>
          <t>EV-CP-010</t>
        </is>
      </c>
      <c r="B11" s="65" t="inlineStr">
        <is>
          <t>CP-010</t>
        </is>
      </c>
      <c r="C11" s="65" t="inlineStr">
        <is>
          <t>HT-06</t>
        </is>
      </c>
      <c r="D11" s="65" t="inlineStr">
        <is>
          <t>Fila de informe</t>
        </is>
      </c>
      <c r="E11" s="65" t="inlineStr">
        <is>
          <t>Fila de test_ca3_dependencia_cliente_s3_en_requirements (PEN-02)</t>
        </is>
      </c>
      <c r="F11" s="65" t="inlineStr">
        <is>
          <t>pytest_ht06_local.html</t>
        </is>
      </c>
      <c r="G11" s="65" t="inlineStr">
        <is>
          <t>backend/qa/03_Evidencias/HT-06/</t>
        </is>
      </c>
      <c r="H11" s="65" t="inlineStr">
        <is>
          <t>QA</t>
        </is>
      </c>
      <c r="I11" s="65" t="inlineStr">
        <is>
          <t>28/10/2026 13:36</t>
        </is>
      </c>
      <c r="J11" s="65" t="n">
        <v>56</v>
      </c>
      <c r="K11" s="65" t="inlineStr">
        <is>
          <t>a7aa461462fa68405d9f58a5e0e678027a3ab06fb155e0febc37f348b3ed7653</t>
        </is>
      </c>
      <c r="L11" s="65" t="inlineStr">
        <is>
          <t>bc5b89a (qa-elliot)</t>
        </is>
      </c>
      <c r="M11" s="66" t="inlineStr">
        <is>
          <t>Adjuntada</t>
        </is>
      </c>
      <c r="N11" s="66" t="inlineStr">
        <is>
          <t>Bloqueado</t>
        </is>
      </c>
      <c r="O11" s="65" t="inlineStr">
        <is>
          <t>No se ejecuto: No hay boto3 ni cliente S3</t>
        </is>
      </c>
    </row>
    <row r="12" ht="51.9" customHeight="1" s="26">
      <c r="A12" s="65" t="inlineStr">
        <is>
          <t>EV-CP-011</t>
        </is>
      </c>
      <c r="B12" s="65" t="inlineStr">
        <is>
          <t>CP-011</t>
        </is>
      </c>
      <c r="C12" s="65" t="inlineStr">
        <is>
          <t>HT-06</t>
        </is>
      </c>
      <c r="D12" s="65" t="inlineStr">
        <is>
          <t>Fila de informe</t>
        </is>
      </c>
      <c r="E12" s="65" t="inlineStr">
        <is>
          <t>Fila de test_ca3_codigo_escribe_dat_en_object_storage (PEN-02)</t>
        </is>
      </c>
      <c r="F12" s="65" t="inlineStr">
        <is>
          <t>pytest_ht06_local.html</t>
        </is>
      </c>
      <c r="G12" s="65" t="inlineStr">
        <is>
          <t>backend/qa/03_Evidencias/HT-06/</t>
        </is>
      </c>
      <c r="H12" s="65" t="inlineStr">
        <is>
          <t>QA</t>
        </is>
      </c>
      <c r="I12" s="65" t="inlineStr">
        <is>
          <t>28/10/2026 13:36</t>
        </is>
      </c>
      <c r="J12" s="65" t="n">
        <v>56</v>
      </c>
      <c r="K12" s="65" t="inlineStr">
        <is>
          <t>a7aa461462fa68405d9f58a5e0e678027a3ab06fb155e0febc37f348b3ed7653</t>
        </is>
      </c>
      <c r="L12" s="65" t="inlineStr">
        <is>
          <t>bc5b89a (qa-elliot)</t>
        </is>
      </c>
      <c r="M12" s="66" t="inlineStr">
        <is>
          <t>Adjuntada</t>
        </is>
      </c>
      <c r="N12" s="66" t="inlineStr">
        <is>
          <t>Bloqueado</t>
        </is>
      </c>
      <c r="O12" s="65" t="inlineStr">
        <is>
          <t>No se ejecuto: Ningun modulo usa Object Storage; el despliegue activo no tiene variables de bucket</t>
        </is>
      </c>
    </row>
    <row r="13" ht="51.9" customHeight="1" s="26">
      <c r="A13" s="65" t="inlineStr">
        <is>
          <t>EV-CP-012</t>
        </is>
      </c>
      <c r="B13" s="65" t="inlineStr">
        <is>
          <t>CP-012</t>
        </is>
      </c>
      <c r="C13" s="65" t="inlineStr">
        <is>
          <t>HT-06</t>
        </is>
      </c>
      <c r="D13" s="65" t="inlineStr">
        <is>
          <t>Fila de informe</t>
        </is>
      </c>
      <c r="E13" s="65" t="inlineStr">
        <is>
          <t>Fila de test_ca3_variables_credenciales_object_storage_documentadas (PEN-02)</t>
        </is>
      </c>
      <c r="F13" s="65" t="inlineStr">
        <is>
          <t>pytest_ht06_local.html</t>
        </is>
      </c>
      <c r="G13" s="65" t="inlineStr">
        <is>
          <t>backend/qa/03_Evidencias/HT-06/</t>
        </is>
      </c>
      <c r="H13" s="65" t="inlineStr">
        <is>
          <t>QA</t>
        </is>
      </c>
      <c r="I13" s="65" t="inlineStr">
        <is>
          <t>28/10/2026 13:36</t>
        </is>
      </c>
      <c r="J13" s="65" t="n">
        <v>56</v>
      </c>
      <c r="K13" s="65" t="inlineStr">
        <is>
          <t>a7aa461462fa68405d9f58a5e0e678027a3ab06fb155e0febc37f348b3ed7653</t>
        </is>
      </c>
      <c r="L13" s="65" t="inlineStr">
        <is>
          <t>bc5b89a (qa-elliot)</t>
        </is>
      </c>
      <c r="M13" s="66" t="inlineStr">
        <is>
          <t>Adjuntada</t>
        </is>
      </c>
      <c r="N13" s="66" t="inlineStr">
        <is>
          <t>Bloqueado</t>
        </is>
      </c>
      <c r="O13" s="65" t="inlineStr">
        <is>
          <t>No se ejecuto: No hay variables de Object Storage</t>
        </is>
      </c>
    </row>
    <row r="14" ht="67.8" customHeight="1" s="26">
      <c r="A14" s="65" t="inlineStr">
        <is>
          <t>EV-CP-013</t>
        </is>
      </c>
      <c r="B14" s="65" t="inlineStr">
        <is>
          <t>CP-013</t>
        </is>
      </c>
      <c r="C14" s="65" t="inlineStr">
        <is>
          <t>HT-06</t>
        </is>
      </c>
      <c r="D14" s="65" t="inlineStr">
        <is>
          <t>Log</t>
        </is>
      </c>
      <c r="E14" s="65" t="inlineStr">
        <is>
          <t>Sin prueba de persistencia (OBS-05)</t>
        </is>
      </c>
      <c r="F14" s="65" t="inlineStr">
        <is>
          <t>—</t>
        </is>
      </c>
      <c r="G14" s="65" t="inlineStr">
        <is>
          <t>backend/qa/03_Evidencias/HT-06/</t>
        </is>
      </c>
      <c r="H14" s="65" t="inlineStr">
        <is>
          <t>QA</t>
        </is>
      </c>
      <c r="I14" s="65" t="inlineStr">
        <is>
          <t>28/10/2026 11:30</t>
        </is>
      </c>
      <c r="J14" s="65" t="n"/>
      <c r="K14" s="65" t="n"/>
      <c r="L14" s="65" t="inlineStr">
        <is>
          <t>—</t>
        </is>
      </c>
      <c r="M14" s="66" t="inlineStr">
        <is>
          <t>No aplica</t>
        </is>
      </c>
      <c r="N14" s="66" t="inlineStr">
        <is>
          <t>Bloqueado</t>
        </is>
      </c>
      <c r="O14" s="65" t="inlineStr">
        <is>
          <t>No se ejecuto: No se ejecuto: produccion es compartida y el servidor de pruebas aun esta en curso</t>
        </is>
      </c>
    </row>
    <row r="15" ht="83.8" customHeight="1" s="26">
      <c r="A15" s="65" t="inlineStr">
        <is>
          <t>EV-CP-014</t>
        </is>
      </c>
      <c r="B15" s="65" t="inlineStr">
        <is>
          <t>CP-014</t>
        </is>
      </c>
      <c r="C15" s="65" t="inlineStr">
        <is>
          <t>HT-06</t>
        </is>
      </c>
      <c r="D15" s="65" t="inlineStr">
        <is>
          <t>Fila de informe</t>
        </is>
      </c>
      <c r="E15" s="65" t="inlineStr">
        <is>
          <t>Fila de test_ca4_tarea_de_respaldo_en_beat_schedule (PEN-03)</t>
        </is>
      </c>
      <c r="F15" s="65" t="inlineStr">
        <is>
          <t>pytest_ht06_local.html</t>
        </is>
      </c>
      <c r="G15" s="65" t="inlineStr">
        <is>
          <t>backend/qa/03_Evidencias/HT-06/</t>
        </is>
      </c>
      <c r="H15" s="65" t="inlineStr">
        <is>
          <t>QA</t>
        </is>
      </c>
      <c r="I15" s="65" t="inlineStr">
        <is>
          <t>28/10/2026 13:36</t>
        </is>
      </c>
      <c r="J15" s="65" t="n">
        <v>56</v>
      </c>
      <c r="K15" s="65" t="inlineStr">
        <is>
          <t>a7aa461462fa68405d9f58a5e0e678027a3ab06fb155e0febc37f348b3ed7653</t>
        </is>
      </c>
      <c r="L15" s="65" t="inlineStr">
        <is>
          <t>bc5b89a (qa-elliot)</t>
        </is>
      </c>
      <c r="M15" s="66" t="inlineStr">
        <is>
          <t>Adjuntada</t>
        </is>
      </c>
      <c r="N15" s="66" t="inlineStr">
        <is>
          <t>Bloqueado</t>
        </is>
      </c>
      <c r="O15" s="65" t="inlineStr">
        <is>
          <t>No se ejecuto: beat_schedule tiene 4 tareas y ninguna es un respaldo</t>
        </is>
      </c>
    </row>
    <row r="16" ht="67.8" customHeight="1" s="26">
      <c r="A16" s="65" t="inlineStr">
        <is>
          <t>EV-CP-015</t>
        </is>
      </c>
      <c r="B16" s="65" t="inlineStr">
        <is>
          <t>CP-015</t>
        </is>
      </c>
      <c r="C16" s="65" t="inlineStr">
        <is>
          <t>HT-06</t>
        </is>
      </c>
      <c r="D16" s="65" t="inlineStr">
        <is>
          <t>Fila de informe</t>
        </is>
      </c>
      <c r="E16" s="65" t="inlineStr">
        <is>
          <t>Fila de test_ca4_respaldo_semanal_crontab (PEN-03)</t>
        </is>
      </c>
      <c r="F16" s="65" t="inlineStr">
        <is>
          <t>pytest_ht06_local.html</t>
        </is>
      </c>
      <c r="G16" s="65" t="inlineStr">
        <is>
          <t>backend/qa/03_Evidencias/HT-06/</t>
        </is>
      </c>
      <c r="H16" s="65" t="inlineStr">
        <is>
          <t>QA</t>
        </is>
      </c>
      <c r="I16" s="65" t="inlineStr">
        <is>
          <t>28/10/2026 13:36</t>
        </is>
      </c>
      <c r="J16" s="65" t="n">
        <v>56</v>
      </c>
      <c r="K16" s="65" t="inlineStr">
        <is>
          <t>a7aa461462fa68405d9f58a5e0e678027a3ab06fb155e0febc37f348b3ed7653</t>
        </is>
      </c>
      <c r="L16" s="65" t="inlineStr">
        <is>
          <t>bc5b89a (qa-elliot)</t>
        </is>
      </c>
      <c r="M16" s="66" t="inlineStr">
        <is>
          <t>Adjuntada</t>
        </is>
      </c>
      <c r="N16" s="66" t="inlineStr">
        <is>
          <t>Bloqueado</t>
        </is>
      </c>
      <c r="O16" s="65" t="inlineStr">
        <is>
          <t>No se ejecuto: Ningun crontab semanal</t>
        </is>
      </c>
    </row>
    <row r="17" ht="51.9" customHeight="1" s="26">
      <c r="A17" s="65" t="inlineStr">
        <is>
          <t>EV-CP-016</t>
        </is>
      </c>
      <c r="B17" s="65" t="inlineStr">
        <is>
          <t>CP-016</t>
        </is>
      </c>
      <c r="C17" s="65" t="inlineStr">
        <is>
          <t>HT-06</t>
        </is>
      </c>
      <c r="D17" s="65" t="inlineStr">
        <is>
          <t>Fila de informe</t>
        </is>
      </c>
      <c r="E17" s="65" t="inlineStr">
        <is>
          <t>Fila de test_ca4_retencion_12_meses_configurada (PEN-03)</t>
        </is>
      </c>
      <c r="F17" s="65" t="inlineStr">
        <is>
          <t>pytest_ht06_local.html</t>
        </is>
      </c>
      <c r="G17" s="65" t="inlineStr">
        <is>
          <t>backend/qa/03_Evidencias/HT-06/</t>
        </is>
      </c>
      <c r="H17" s="65" t="inlineStr">
        <is>
          <t>QA</t>
        </is>
      </c>
      <c r="I17" s="65" t="inlineStr">
        <is>
          <t>28/10/2026 13:36</t>
        </is>
      </c>
      <c r="J17" s="65" t="n">
        <v>56</v>
      </c>
      <c r="K17" s="65" t="inlineStr">
        <is>
          <t>a7aa461462fa68405d9f58a5e0e678027a3ab06fb155e0febc37f348b3ed7653</t>
        </is>
      </c>
      <c r="L17" s="65" t="inlineStr">
        <is>
          <t>bc5b89a (qa-elliot)</t>
        </is>
      </c>
      <c r="M17" s="66" t="inlineStr">
        <is>
          <t>Adjuntada</t>
        </is>
      </c>
      <c r="N17" s="66" t="inlineStr">
        <is>
          <t>Bloqueado</t>
        </is>
      </c>
      <c r="O17" s="65" t="inlineStr">
        <is>
          <t>No se ejecuto: No hay retencion configurada</t>
        </is>
      </c>
    </row>
    <row r="18" ht="67.8" customHeight="1" s="26">
      <c r="A18" s="65" t="inlineStr">
        <is>
          <t>EV-CP-017</t>
        </is>
      </c>
      <c r="B18" s="65" t="inlineStr">
        <is>
          <t>CP-017</t>
        </is>
      </c>
      <c r="C18" s="65" t="inlineStr">
        <is>
          <t>HT-06</t>
        </is>
      </c>
      <c r="D18" s="65" t="inlineStr">
        <is>
          <t>Fila de informe</t>
        </is>
      </c>
      <c r="E18" s="65" t="inlineStr">
        <is>
          <t>Fila de test_ca4_tarea_de_respaldo_cifra_el_dump (PEN-03)</t>
        </is>
      </c>
      <c r="F18" s="65" t="inlineStr">
        <is>
          <t>pytest_ht06_local.html</t>
        </is>
      </c>
      <c r="G18" s="65" t="inlineStr">
        <is>
          <t>backend/qa/03_Evidencias/HT-06/</t>
        </is>
      </c>
      <c r="H18" s="65" t="inlineStr">
        <is>
          <t>QA</t>
        </is>
      </c>
      <c r="I18" s="65" t="inlineStr">
        <is>
          <t>28/10/2026 13:36</t>
        </is>
      </c>
      <c r="J18" s="65" t="n">
        <v>56</v>
      </c>
      <c r="K18" s="65" t="inlineStr">
        <is>
          <t>a7aa461462fa68405d9f58a5e0e678027a3ab06fb155e0febc37f348b3ed7653</t>
        </is>
      </c>
      <c r="L18" s="65" t="inlineStr">
        <is>
          <t>bc5b89a (qa-elliot)</t>
        </is>
      </c>
      <c r="M18" s="66" t="inlineStr">
        <is>
          <t>Adjuntada</t>
        </is>
      </c>
      <c r="N18" s="66" t="inlineStr">
        <is>
          <t>Bloqueado</t>
        </is>
      </c>
      <c r="O18" s="65" t="inlineStr">
        <is>
          <t>No se ejecuto: No existe codigo de dump ni de cifrado</t>
        </is>
      </c>
    </row>
    <row r="19" ht="51.9" customHeight="1" s="26">
      <c r="A19" s="65" t="inlineStr">
        <is>
          <t>EV-CP-018</t>
        </is>
      </c>
      <c r="B19" s="65" t="inlineStr">
        <is>
          <t>CP-018</t>
        </is>
      </c>
      <c r="C19" s="65" t="inlineStr">
        <is>
          <t>HT-06</t>
        </is>
      </c>
      <c r="D19" s="65" t="inlineStr">
        <is>
          <t>Fila de informe</t>
        </is>
      </c>
      <c r="E19" s="65" t="inlineStr">
        <is>
          <t>Fila de test_ca2_bd_por_variable_de_entorno_en_codigo</t>
        </is>
      </c>
      <c r="F19" s="65" t="inlineStr">
        <is>
          <t>pytest_ht06_local.html</t>
        </is>
      </c>
      <c r="G19" s="65" t="inlineStr">
        <is>
          <t>backend/qa/03_Evidencias/HT-06/</t>
        </is>
      </c>
      <c r="H19" s="65" t="inlineStr">
        <is>
          <t>QA</t>
        </is>
      </c>
      <c r="I19" s="65" t="inlineStr">
        <is>
          <t>28/10/2026 13:36</t>
        </is>
      </c>
      <c r="J19" s="65" t="n">
        <v>56</v>
      </c>
      <c r="K19" s="65" t="inlineStr">
        <is>
          <t>a7aa461462fa68405d9f58a5e0e678027a3ab06fb155e0febc37f348b3ed7653</t>
        </is>
      </c>
      <c r="L19" s="65" t="inlineStr">
        <is>
          <t>bc5b89a (qa-elliot)</t>
        </is>
      </c>
      <c r="M19" s="66" t="inlineStr">
        <is>
          <t>Adjuntada</t>
        </is>
      </c>
      <c r="N19" s="66" t="inlineStr">
        <is>
          <t>Aprobado</t>
        </is>
      </c>
      <c r="O19" s="65" t="n"/>
    </row>
    <row r="20" ht="67.8" customHeight="1" s="26">
      <c r="A20" s="65" t="inlineStr">
        <is>
          <t>EV-CP-019</t>
        </is>
      </c>
      <c r="B20" s="65" t="inlineStr">
        <is>
          <t>CP-019</t>
        </is>
      </c>
      <c r="C20" s="65" t="inlineStr">
        <is>
          <t>HT-06</t>
        </is>
      </c>
      <c r="D20" s="65" t="inlineStr">
        <is>
          <t>Fila de informe</t>
        </is>
      </c>
      <c r="E20" s="65" t="inlineStr">
        <is>
          <t>Fila de test_ca5_codigo_sin_credenciales_reales_versionadas</t>
        </is>
      </c>
      <c r="F20" s="65" t="inlineStr">
        <is>
          <t>pytest_ht06_local.html</t>
        </is>
      </c>
      <c r="G20" s="65" t="inlineStr">
        <is>
          <t>backend/qa/03_Evidencias/HT-06/</t>
        </is>
      </c>
      <c r="H20" s="65" t="inlineStr">
        <is>
          <t>QA</t>
        </is>
      </c>
      <c r="I20" s="65" t="inlineStr">
        <is>
          <t>28/10/2026 13:36</t>
        </is>
      </c>
      <c r="J20" s="65" t="n">
        <v>56</v>
      </c>
      <c r="K20" s="65" t="inlineStr">
        <is>
          <t>a7aa461462fa68405d9f58a5e0e678027a3ab06fb155e0febc37f348b3ed7653</t>
        </is>
      </c>
      <c r="L20" s="65" t="inlineStr">
        <is>
          <t>bc5b89a (qa-elliot)</t>
        </is>
      </c>
      <c r="M20" s="66" t="inlineStr">
        <is>
          <t>Adjuntada</t>
        </is>
      </c>
      <c r="N20" s="66" t="inlineStr">
        <is>
          <t>Aprobado</t>
        </is>
      </c>
      <c r="O20" s="65" t="n"/>
    </row>
    <row r="21" ht="51.9" customHeight="1" s="26">
      <c r="A21" s="65" t="inlineStr">
        <is>
          <t>EV-CP-020</t>
        </is>
      </c>
      <c r="B21" s="65" t="inlineStr">
        <is>
          <t>CP-020</t>
        </is>
      </c>
      <c r="C21" s="65" t="inlineStr">
        <is>
          <t>HT-06</t>
        </is>
      </c>
      <c r="D21" s="65" t="inlineStr">
        <is>
          <t>Fila de informe</t>
        </is>
      </c>
      <c r="E21" s="65" t="inlineStr">
        <is>
          <t>Fila de test_ca5_containers_json_ignorado_y_no_versionado</t>
        </is>
      </c>
      <c r="F21" s="65" t="inlineStr">
        <is>
          <t>pytest_ht06_local.html</t>
        </is>
      </c>
      <c r="G21" s="65" t="inlineStr">
        <is>
          <t>backend/qa/03_Evidencias/HT-06/</t>
        </is>
      </c>
      <c r="H21" s="65" t="inlineStr">
        <is>
          <t>QA</t>
        </is>
      </c>
      <c r="I21" s="65" t="inlineStr">
        <is>
          <t>28/10/2026 13:36</t>
        </is>
      </c>
      <c r="J21" s="65" t="n">
        <v>56</v>
      </c>
      <c r="K21" s="65" t="inlineStr">
        <is>
          <t>a7aa461462fa68405d9f58a5e0e678027a3ab06fb155e0febc37f348b3ed7653</t>
        </is>
      </c>
      <c r="L21" s="65" t="inlineStr">
        <is>
          <t>bc5b89a (qa-elliot)</t>
        </is>
      </c>
      <c r="M21" s="66" t="inlineStr">
        <is>
          <t>Adjuntada</t>
        </is>
      </c>
      <c r="N21" s="66" t="inlineStr">
        <is>
          <t>Aprobado</t>
        </is>
      </c>
      <c r="O21" s="65" t="n"/>
    </row>
    <row r="22" ht="67.8" customHeight="1" s="26">
      <c r="A22" s="65" t="inlineStr">
        <is>
          <t>EV-CP-021</t>
        </is>
      </c>
      <c r="B22" s="65" t="inlineStr">
        <is>
          <t>CP-021</t>
        </is>
      </c>
      <c r="C22" s="65" t="inlineStr">
        <is>
          <t>HT-06</t>
        </is>
      </c>
      <c r="D22" s="65" t="inlineStr">
        <is>
          <t>Fila de informe</t>
        </is>
      </c>
      <c r="E22" s="65" t="inlineStr">
        <is>
          <t>Fila de test_ca5_plantilla_containers_usa_marcadores</t>
        </is>
      </c>
      <c r="F22" s="65" t="inlineStr">
        <is>
          <t>pytest_ht06_local.html</t>
        </is>
      </c>
      <c r="G22" s="65" t="inlineStr">
        <is>
          <t>backend/qa/03_Evidencias/HT-06/</t>
        </is>
      </c>
      <c r="H22" s="65" t="inlineStr">
        <is>
          <t>QA</t>
        </is>
      </c>
      <c r="I22" s="65" t="inlineStr">
        <is>
          <t>28/10/2026 13:36</t>
        </is>
      </c>
      <c r="J22" s="65" t="n">
        <v>56</v>
      </c>
      <c r="K22" s="65" t="inlineStr">
        <is>
          <t>a7aa461462fa68405d9f58a5e0e678027a3ab06fb155e0febc37f348b3ed7653</t>
        </is>
      </c>
      <c r="L22" s="65" t="inlineStr">
        <is>
          <t>bc5b89a (qa-elliot)</t>
        </is>
      </c>
      <c r="M22" s="66" t="inlineStr">
        <is>
          <t>Adjuntada</t>
        </is>
      </c>
      <c r="N22" s="66" t="inlineStr">
        <is>
          <t>Aprobado</t>
        </is>
      </c>
      <c r="O22" s="65" t="n"/>
    </row>
    <row r="23" ht="51.9" customHeight="1" s="26">
      <c r="A23" s="65" t="inlineStr">
        <is>
          <t>EV-CP-022</t>
        </is>
      </c>
      <c r="B23" s="65" t="inlineStr">
        <is>
          <t>CP-022</t>
        </is>
      </c>
      <c r="C23" s="65" t="inlineStr">
        <is>
          <t>HT-06</t>
        </is>
      </c>
      <c r="D23" s="65" t="inlineStr">
        <is>
          <t>Log</t>
        </is>
      </c>
      <c r="E23" s="65" t="inlineStr">
        <is>
          <t>Nombres de variables por contenedor</t>
        </is>
      </c>
      <c r="F23" s="65" t="inlineStr">
        <is>
          <t>lightsail_verificacion_resumen.txt</t>
        </is>
      </c>
      <c r="G23" s="65" t="inlineStr">
        <is>
          <t>backend/qa/03_Evidencias/HT-06/</t>
        </is>
      </c>
      <c r="H23" s="65" t="inlineStr">
        <is>
          <t>QA</t>
        </is>
      </c>
      <c r="I23" s="65" t="inlineStr">
        <is>
          <t>28/10/2026 11:30</t>
        </is>
      </c>
      <c r="J23" s="65" t="n">
        <v>2.4</v>
      </c>
      <c r="K23" s="65" t="inlineStr">
        <is>
          <t>b1f78e7ef3a587a51f884d6a922dca206b99b395936d9815f30fcb22fa875818</t>
        </is>
      </c>
      <c r="L23" s="65" t="inlineStr">
        <is>
          <t>imagen api-b948aac.16</t>
        </is>
      </c>
      <c r="M23" s="66" t="inlineStr">
        <is>
          <t>Adjuntada</t>
        </is>
      </c>
      <c r="N23" s="66" t="inlineStr">
        <is>
          <t>Aprobado</t>
        </is>
      </c>
      <c r="O23" s="65" t="n"/>
    </row>
    <row r="24" ht="67.8" customHeight="1" s="26">
      <c r="A24" s="65" t="inlineStr">
        <is>
          <t>EV-CP-023</t>
        </is>
      </c>
      <c r="B24" s="65" t="inlineStr">
        <is>
          <t>CP-023</t>
        </is>
      </c>
      <c r="C24" s="65" t="inlineStr">
        <is>
          <t>HT-06</t>
        </is>
      </c>
      <c r="D24" s="65" t="inlineStr">
        <is>
          <t>Fila de informe</t>
        </is>
      </c>
      <c r="E24" s="65" t="inlineStr">
        <is>
          <t>Fila de test_ca5_historial_git_sin_contrasena_de_bd_remota</t>
        </is>
      </c>
      <c r="F24" s="65" t="inlineStr">
        <is>
          <t>pytest_ht06_local.html</t>
        </is>
      </c>
      <c r="G24" s="65" t="inlineStr">
        <is>
          <t>backend/qa/03_Evidencias/HT-06/</t>
        </is>
      </c>
      <c r="H24" s="65" t="inlineStr">
        <is>
          <t>QA</t>
        </is>
      </c>
      <c r="I24" s="65" t="inlineStr">
        <is>
          <t>28/10/2026 13:36</t>
        </is>
      </c>
      <c r="J24" s="65" t="n">
        <v>56</v>
      </c>
      <c r="K24" s="65" t="inlineStr">
        <is>
          <t>a7aa461462fa68405d9f58a5e0e678027a3ab06fb155e0febc37f348b3ed7653</t>
        </is>
      </c>
      <c r="L24" s="65" t="inlineStr">
        <is>
          <t>bc5b89a (qa-elliot)</t>
        </is>
      </c>
      <c r="M24" s="66" t="inlineStr">
        <is>
          <t>Adjuntada</t>
        </is>
      </c>
      <c r="N24" s="66" t="inlineStr">
        <is>
          <t>Fallido</t>
        </is>
      </c>
      <c r="O24" s="65" t="inlineStr">
        <is>
          <t>El commit dba450f subio la cadena de conexion con contrasena; la rotacion sigue pendiente segun ac48238</t>
        </is>
      </c>
    </row>
    <row r="25" ht="51.9" customHeight="1" s="26">
      <c r="A25" s="65" t="inlineStr">
        <is>
          <t>EV-CP-024</t>
        </is>
      </c>
      <c r="B25" s="65" t="inlineStr">
        <is>
          <t>CP-024</t>
        </is>
      </c>
      <c r="C25" s="65" t="inlineStr">
        <is>
          <t>HT-06</t>
        </is>
      </c>
      <c r="D25" s="65" t="inlineStr">
        <is>
          <t>Fila de informe</t>
        </is>
      </c>
      <c r="E25" s="65" t="inlineStr">
        <is>
          <t>Fila de test_ca5_secretos_jwt_y_ftp_no_en_historial</t>
        </is>
      </c>
      <c r="F25" s="65" t="inlineStr">
        <is>
          <t>pytest_ht06_local.html</t>
        </is>
      </c>
      <c r="G25" s="65" t="inlineStr">
        <is>
          <t>backend/qa/03_Evidencias/HT-06/</t>
        </is>
      </c>
      <c r="H25" s="65" t="inlineStr">
        <is>
          <t>QA</t>
        </is>
      </c>
      <c r="I25" s="65" t="inlineStr">
        <is>
          <t>28/10/2026 13:36</t>
        </is>
      </c>
      <c r="J25" s="65" t="n">
        <v>56</v>
      </c>
      <c r="K25" s="65" t="inlineStr">
        <is>
          <t>a7aa461462fa68405d9f58a5e0e678027a3ab06fb155e0febc37f348b3ed7653</t>
        </is>
      </c>
      <c r="L25" s="65" t="inlineStr">
        <is>
          <t>bc5b89a (qa-elliot)</t>
        </is>
      </c>
      <c r="M25" s="66" t="inlineStr">
        <is>
          <t>Adjuntada</t>
        </is>
      </c>
      <c r="N25" s="66" t="inlineStr">
        <is>
          <t>Fallido</t>
        </is>
      </c>
      <c r="O25" s="65" t="inlineStr">
        <is>
          <t>JWT_SECRET y FTP_CREDENTIAL_KEY aparecen en texto plano en el historial</t>
        </is>
      </c>
    </row>
    <row r="26" ht="51.9" customHeight="1" s="26">
      <c r="A26" s="65" t="inlineStr">
        <is>
          <t>EV-CP-025</t>
        </is>
      </c>
      <c r="B26" s="65" t="inlineStr">
        <is>
          <t>CP-025</t>
        </is>
      </c>
      <c r="C26" s="65" t="inlineStr">
        <is>
          <t>HT-06</t>
        </is>
      </c>
      <c r="D26" s="65" t="inlineStr">
        <is>
          <t>Fila de informe</t>
        </is>
      </c>
      <c r="E26" s="65" t="inlineStr">
        <is>
          <t>Fila de test_entornos_dev_staging_produccion_definidos (PEN-04)</t>
        </is>
      </c>
      <c r="F26" s="65" t="inlineStr">
        <is>
          <t>pytest_ht06_local.html</t>
        </is>
      </c>
      <c r="G26" s="65" t="inlineStr">
        <is>
          <t>backend/qa/03_Evidencias/HT-06/</t>
        </is>
      </c>
      <c r="H26" s="65" t="inlineStr">
        <is>
          <t>QA</t>
        </is>
      </c>
      <c r="I26" s="65" t="inlineStr">
        <is>
          <t>28/10/2026 13:36</t>
        </is>
      </c>
      <c r="J26" s="65" t="n">
        <v>56</v>
      </c>
      <c r="K26" s="65" t="inlineStr">
        <is>
          <t>a7aa461462fa68405d9f58a5e0e678027a3ab06fb155e0febc37f348b3ed7653</t>
        </is>
      </c>
      <c r="L26" s="65" t="inlineStr">
        <is>
          <t>bc5b89a (qa-elliot)</t>
        </is>
      </c>
      <c r="M26" s="66" t="inlineStr">
        <is>
          <t>Adjuntada</t>
        </is>
      </c>
      <c r="N26" s="66" t="inlineStr">
        <is>
          <t>Bloqueado</t>
        </is>
      </c>
      <c r="O26" s="65" t="inlineStr">
        <is>
          <t>No se ejecuto: No hay definicion; en Lightsail solo existe produccion (el servidor de pruebas esta en curso)</t>
        </is>
      </c>
    </row>
    <row r="27" ht="51.9" customHeight="1" s="26">
      <c r="A27" s="65" t="inlineStr">
        <is>
          <t>EV-CP-026</t>
        </is>
      </c>
      <c r="B27" s="65" t="inlineStr">
        <is>
          <t>CP-026</t>
        </is>
      </c>
      <c r="C27" s="65" t="inlineStr">
        <is>
          <t>HT-06</t>
        </is>
      </c>
      <c r="D27" s="65" t="inlineStr">
        <is>
          <t>Fila de informe</t>
        </is>
      </c>
      <c r="E27" s="65" t="inlineStr">
        <is>
          <t>Fila de test_umbral_migracion_timescaledb_documentado (PEN-05)</t>
        </is>
      </c>
      <c r="F27" s="65" t="inlineStr">
        <is>
          <t>pytest_ht06_local.html</t>
        </is>
      </c>
      <c r="G27" s="65" t="inlineStr">
        <is>
          <t>backend/qa/03_Evidencias/HT-06/</t>
        </is>
      </c>
      <c r="H27" s="65" t="inlineStr">
        <is>
          <t>QA</t>
        </is>
      </c>
      <c r="I27" s="65" t="inlineStr">
        <is>
          <t>28/10/2026 13:36</t>
        </is>
      </c>
      <c r="J27" s="65" t="n">
        <v>56</v>
      </c>
      <c r="K27" s="65" t="inlineStr">
        <is>
          <t>a7aa461462fa68405d9f58a5e0e678027a3ab06fb155e0febc37f348b3ed7653</t>
        </is>
      </c>
      <c r="L27" s="65" t="inlineStr">
        <is>
          <t>bc5b89a (qa-elliot)</t>
        </is>
      </c>
      <c r="M27" s="66" t="inlineStr">
        <is>
          <t>Adjuntada</t>
        </is>
      </c>
      <c r="N27" s="66" t="inlineStr">
        <is>
          <t>Bloqueado</t>
        </is>
      </c>
      <c r="O27" s="65" t="inlineStr">
        <is>
          <t>No se ejecuto: No esta documentado</t>
        </is>
      </c>
    </row>
    <row r="28" ht="51.9" customHeight="1" s="26">
      <c r="A28" s="65" t="inlineStr">
        <is>
          <t>EV-CP-027</t>
        </is>
      </c>
      <c r="B28" s="65" t="inlineStr">
        <is>
          <t>CP-027</t>
        </is>
      </c>
      <c r="C28" s="65" t="inlineStr">
        <is>
          <t>HT-06</t>
        </is>
      </c>
      <c r="D28" s="65" t="inlineStr">
        <is>
          <t>Fila de informe</t>
        </is>
      </c>
      <c r="E28" s="65" t="inlineStr">
        <is>
          <t>Fila de test_postgis_restriccion_documentada (PEN-05)</t>
        </is>
      </c>
      <c r="F28" s="65" t="inlineStr">
        <is>
          <t>pytest_ht06_local.html</t>
        </is>
      </c>
      <c r="G28" s="65" t="inlineStr">
        <is>
          <t>backend/qa/03_Evidencias/HT-06/</t>
        </is>
      </c>
      <c r="H28" s="65" t="inlineStr">
        <is>
          <t>QA</t>
        </is>
      </c>
      <c r="I28" s="65" t="inlineStr">
        <is>
          <t>28/10/2026 13:36</t>
        </is>
      </c>
      <c r="J28" s="65" t="n">
        <v>56</v>
      </c>
      <c r="K28" s="65" t="inlineStr">
        <is>
          <t>a7aa461462fa68405d9f58a5e0e678027a3ab06fb155e0febc37f348b3ed7653</t>
        </is>
      </c>
      <c r="L28" s="65" t="inlineStr">
        <is>
          <t>bc5b89a (qa-elliot)</t>
        </is>
      </c>
      <c r="M28" s="66" t="inlineStr">
        <is>
          <t>Adjuntada</t>
        </is>
      </c>
      <c r="N28" s="66" t="inlineStr">
        <is>
          <t>Bloqueado</t>
        </is>
      </c>
      <c r="O28" s="65" t="inlineStr">
        <is>
          <t>No se ejecuto: PostGIS no se menciona</t>
        </is>
      </c>
    </row>
    <row r="29" ht="51.9" customHeight="1" s="26">
      <c r="A29" s="65" t="inlineStr">
        <is>
          <t>EV-CP-028</t>
        </is>
      </c>
      <c r="B29" s="65" t="inlineStr">
        <is>
          <t>CP-028</t>
        </is>
      </c>
      <c r="C29" s="65" t="inlineStr">
        <is>
          <t>HT-06</t>
        </is>
      </c>
      <c r="D29" s="65" t="inlineStr">
        <is>
          <t>Fila de informe</t>
        </is>
      </c>
      <c r="E29" s="65" t="inlineStr">
        <is>
          <t>Fila de test_poligonos_como_geojson_en_columna_json</t>
        </is>
      </c>
      <c r="F29" s="65" t="inlineStr">
        <is>
          <t>pytest_ht06_local.html</t>
        </is>
      </c>
      <c r="G29" s="65" t="inlineStr">
        <is>
          <t>backend/qa/03_Evidencias/HT-06/</t>
        </is>
      </c>
      <c r="H29" s="65" t="inlineStr">
        <is>
          <t>QA</t>
        </is>
      </c>
      <c r="I29" s="65" t="inlineStr">
        <is>
          <t>28/10/2026 13:36</t>
        </is>
      </c>
      <c r="J29" s="65" t="n">
        <v>56</v>
      </c>
      <c r="K29" s="65" t="inlineStr">
        <is>
          <t>a7aa461462fa68405d9f58a5e0e678027a3ab06fb155e0febc37f348b3ed7653</t>
        </is>
      </c>
      <c r="L29" s="65" t="inlineStr">
        <is>
          <t>bc5b89a (qa-elliot)</t>
        </is>
      </c>
      <c r="M29" s="66" t="inlineStr">
        <is>
          <t>Adjuntada</t>
        </is>
      </c>
      <c r="N29" s="66" t="inlineStr">
        <is>
          <t>Aprobado</t>
        </is>
      </c>
      <c r="O29" s="65" t="n"/>
    </row>
    <row r="30" ht="51.9" customHeight="1" s="26">
      <c r="A30" s="65" t="inlineStr">
        <is>
          <t>EV-CP-029</t>
        </is>
      </c>
      <c r="B30" s="65" t="inlineStr">
        <is>
          <t>CP-029</t>
        </is>
      </c>
      <c r="C30" s="65" t="inlineStr">
        <is>
          <t>HT-06</t>
        </is>
      </c>
      <c r="D30" s="65" t="inlineStr">
        <is>
          <t>Fila de informe</t>
        </is>
      </c>
      <c r="E30" s="65" t="inlineStr">
        <is>
          <t>Fila de test_particionamiento_nativo_en_lugar_de_timescaledb</t>
        </is>
      </c>
      <c r="F30" s="65" t="inlineStr">
        <is>
          <t>pytest_ht06_local.html</t>
        </is>
      </c>
      <c r="G30" s="65" t="inlineStr">
        <is>
          <t>backend/qa/03_Evidencias/HT-06/</t>
        </is>
      </c>
      <c r="H30" s="65" t="inlineStr">
        <is>
          <t>QA</t>
        </is>
      </c>
      <c r="I30" s="65" t="inlineStr">
        <is>
          <t>28/10/2026 13:36</t>
        </is>
      </c>
      <c r="J30" s="65" t="n">
        <v>56</v>
      </c>
      <c r="K30" s="65" t="inlineStr">
        <is>
          <t>a7aa461462fa68405d9f58a5e0e678027a3ab06fb155e0febc37f348b3ed7653</t>
        </is>
      </c>
      <c r="L30" s="65" t="inlineStr">
        <is>
          <t>bc5b89a (qa-elliot)</t>
        </is>
      </c>
      <c r="M30" s="66" t="inlineStr">
        <is>
          <t>Adjuntada</t>
        </is>
      </c>
      <c r="N30" s="66" t="inlineStr">
        <is>
          <t>Aprobado</t>
        </is>
      </c>
      <c r="O30" s="65" t="n"/>
    </row>
    <row r="31" ht="51.9" customHeight="1" s="26">
      <c r="A31" s="65" t="inlineStr">
        <is>
          <t>EV-HT-06-INF-01</t>
        </is>
      </c>
      <c r="B31" s="65" t="inlineStr">
        <is>
          <t>Todos los de pytest</t>
        </is>
      </c>
      <c r="C31" s="65" t="inlineStr">
        <is>
          <t>HT-06</t>
        </is>
      </c>
      <c r="D31" s="65" t="inlineStr">
        <is>
          <t>Informe HTML</t>
        </is>
      </c>
      <c r="E31" s="65" t="inlineStr">
        <is>
          <t>Informe completo de la suite local: 22 pruebas, 8 aprobadas y 14 fallidas</t>
        </is>
      </c>
      <c r="F31" s="65" t="inlineStr">
        <is>
          <t>pytest_ht06_local.html</t>
        </is>
      </c>
      <c r="G31" s="65" t="inlineStr">
        <is>
          <t>backend/qa/03_Evidencias/HT-06/</t>
        </is>
      </c>
      <c r="H31" s="65" t="inlineStr">
        <is>
          <t>QA</t>
        </is>
      </c>
      <c r="I31" s="65" t="inlineStr">
        <is>
          <t>28/10/2026 13:36</t>
        </is>
      </c>
      <c r="J31" s="65" t="n">
        <v>56</v>
      </c>
      <c r="K31" s="65" t="inlineStr">
        <is>
          <t>a7aa461462fa68405d9f58a5e0e678027a3ab06fb155e0febc37f348b3ed7653</t>
        </is>
      </c>
      <c r="L31" s="65" t="inlineStr">
        <is>
          <t>bc5b89a (qa-elliot)</t>
        </is>
      </c>
      <c r="M31" s="66" t="inlineStr">
        <is>
          <t>Adjuntada</t>
        </is>
      </c>
      <c r="N31" s="66" t="inlineStr">
        <is>
          <t>Informativo</t>
        </is>
      </c>
      <c r="O31" s="65" t="n"/>
    </row>
    <row r="32" ht="51.9" customHeight="1" s="26">
      <c r="A32" s="65" t="inlineStr">
        <is>
          <t>EV-HT-06-LOG-01</t>
        </is>
      </c>
      <c r="B32" s="65" t="inlineStr">
        <is>
          <t>OBS-08</t>
        </is>
      </c>
      <c r="C32" s="65" t="inlineStr">
        <is>
          <t>HT-06</t>
        </is>
      </c>
      <c r="D32" s="65" t="inlineStr">
        <is>
          <t>Log</t>
        </is>
      </c>
      <c r="E32" s="65" t="inlineStr">
        <is>
          <t>Verificacion de la instancia Servidores-ceneris: no aloja Pangea (hallazgo ajeno a la HU)</t>
        </is>
      </c>
      <c r="F32" s="65" t="inlineStr">
        <is>
          <t>instancia_verificacion_resumen.txt</t>
        </is>
      </c>
      <c r="G32" s="65" t="inlineStr">
        <is>
          <t>backend/qa/03_Evidencias/HT-06/</t>
        </is>
      </c>
      <c r="H32" s="65" t="inlineStr">
        <is>
          <t>QA</t>
        </is>
      </c>
      <c r="I32" s="65" t="inlineStr">
        <is>
          <t>28/10/2026 11:25</t>
        </is>
      </c>
      <c r="J32" s="65" t="n">
        <v>1.3</v>
      </c>
      <c r="K32" s="65" t="inlineStr">
        <is>
          <t>1151b57b6209f6d1ae153dc27a06f92a4d27c1de456b96dd2b4c1df2db1fb00b</t>
        </is>
      </c>
      <c r="L32" s="65" t="inlineStr">
        <is>
          <t>—</t>
        </is>
      </c>
      <c r="M32" s="66" t="inlineStr">
        <is>
          <t>Adjuntada</t>
        </is>
      </c>
      <c r="N32" s="66" t="inlineStr">
        <is>
          <t>Informativo</t>
        </is>
      </c>
      <c r="O32" s="65" t="n"/>
    </row>
    <row r="33" ht="51.9" customHeight="1" s="26">
      <c r="A33" s="65" t="inlineStr">
        <is>
          <t>EV-HT-06-INF-02</t>
        </is>
      </c>
      <c r="B33" s="65" t="inlineStr">
        <is>
          <t>EV-HT-06-INF-01</t>
        </is>
      </c>
      <c r="C33" s="65" t="inlineStr">
        <is>
          <t>HT-06</t>
        </is>
      </c>
      <c r="D33" s="65" t="inlineStr">
        <is>
          <t>Captura</t>
        </is>
      </c>
      <c r="E33" s="65" t="inlineStr">
        <is>
          <t>Captura del informe pytest-html (22 filas, sin detalle de fallos) usada en el informe PDF</t>
        </is>
      </c>
      <c r="F33" s="65" t="inlineStr">
        <is>
          <t>EV-HT-06-INF-02_captura-informe-pytest.png</t>
        </is>
      </c>
      <c r="G33" s="65" t="inlineStr">
        <is>
          <t>backend/qa/03_Evidencias/HT-06/</t>
        </is>
      </c>
      <c r="H33" s="65" t="inlineStr">
        <is>
          <t>QA</t>
        </is>
      </c>
      <c r="I33" s="65" t="inlineStr">
        <is>
          <t>28/10/2026 14:23</t>
        </is>
      </c>
      <c r="J33" s="65" t="n">
        <v>329</v>
      </c>
      <c r="K33" s="65" t="inlineStr">
        <is>
          <t>71e478864e03256a3632b32d6d16d36e0fd20c8a79abe9a8c5842ca3f1badc97</t>
        </is>
      </c>
      <c r="L33" s="65" t="inlineStr">
        <is>
          <t>bc5b89a (qa-elliot)</t>
        </is>
      </c>
      <c r="M33" s="66" t="inlineStr">
        <is>
          <t>Adjuntada</t>
        </is>
      </c>
      <c r="N33" s="66" t="inlineStr">
        <is>
          <t>Informativo</t>
        </is>
      </c>
      <c r="O33" s="65" t="n"/>
    </row>
    <row r="34" ht="51.9" customHeight="1" s="26">
      <c r="A34" s="65" t="inlineStr">
        <is>
          <t>EV-CP-030</t>
        </is>
      </c>
      <c r="B34" s="65" t="inlineStr">
        <is>
          <t>CP-030</t>
        </is>
      </c>
      <c r="C34" s="65" t="inlineStr">
        <is>
          <t>HU-18</t>
        </is>
      </c>
      <c r="D34" s="65" t="inlineStr">
        <is>
          <t>Fila de informe</t>
        </is>
      </c>
      <c r="E34" s="65" t="inlineStr">
        <is>
          <t>Fila de test_cp_desactivar_activo_cambia_estado_y_mensaje en el informe pytest-html de HU-18</t>
        </is>
      </c>
      <c r="F34" s="65" t="inlineStr">
        <is>
          <t>pytest_hu18.html</t>
        </is>
      </c>
      <c r="G34" s="65" t="inlineStr">
        <is>
          <t>backend/qa/03_Evidencias/HU18/</t>
        </is>
      </c>
      <c r="H34" s="65" t="inlineStr">
        <is>
          <t>QA</t>
        </is>
      </c>
      <c r="I34" s="65" t="inlineStr">
        <is>
          <t>30/10/2026 08:44</t>
        </is>
      </c>
      <c r="J34" s="65" t="inlineStr">
        <is>
          <t>49</t>
        </is>
      </c>
      <c r="K34" s="65" t="inlineStr">
        <is>
          <t>b7628fc01fe556499a58567a1bef67a0dd0af5de591a06fac865a85705ef299b</t>
        </is>
      </c>
      <c r="L34" s="65" t="inlineStr">
        <is>
          <t>27ac90a (qa-elliot, incluye dccdb60)</t>
        </is>
      </c>
      <c r="M34" s="66" t="inlineStr">
        <is>
          <t>Adjuntada</t>
        </is>
      </c>
      <c r="N34" s="66" t="inlineStr">
        <is>
          <t>Aprobado</t>
        </is>
      </c>
      <c r="O34" s="65" t="inlineStr"/>
    </row>
    <row r="35" ht="51.9" customHeight="1" s="26">
      <c r="A35" s="65" t="inlineStr">
        <is>
          <t>EV-CP-031</t>
        </is>
      </c>
      <c r="B35" s="65" t="inlineStr">
        <is>
          <t>CP-031</t>
        </is>
      </c>
      <c r="C35" s="65" t="inlineStr">
        <is>
          <t>HU-18</t>
        </is>
      </c>
      <c r="D35" s="65" t="inlineStr">
        <is>
          <t>Fila de informe</t>
        </is>
      </c>
      <c r="E35" s="65" t="inlineStr">
        <is>
          <t>Fila de test_cp_no_elimina_la_fila en el informe pytest-html de HU-18</t>
        </is>
      </c>
      <c r="F35" s="65" t="inlineStr">
        <is>
          <t>pytest_hu18.html</t>
        </is>
      </c>
      <c r="G35" s="65" t="inlineStr">
        <is>
          <t>backend/qa/03_Evidencias/HU18/</t>
        </is>
      </c>
      <c r="H35" s="65" t="inlineStr">
        <is>
          <t>QA</t>
        </is>
      </c>
      <c r="I35" s="65" t="inlineStr">
        <is>
          <t>30/10/2026 08:44</t>
        </is>
      </c>
      <c r="J35" s="65" t="inlineStr">
        <is>
          <t>49</t>
        </is>
      </c>
      <c r="K35" s="65" t="inlineStr">
        <is>
          <t>b7628fc01fe556499a58567a1bef67a0dd0af5de591a06fac865a85705ef299b</t>
        </is>
      </c>
      <c r="L35" s="65" t="inlineStr">
        <is>
          <t>27ac90a (qa-elliot, incluye dccdb60)</t>
        </is>
      </c>
      <c r="M35" s="66" t="inlineStr">
        <is>
          <t>Adjuntada</t>
        </is>
      </c>
      <c r="N35" s="66" t="inlineStr">
        <is>
          <t>Aprobado</t>
        </is>
      </c>
      <c r="O35" s="65" t="inlineStr"/>
    </row>
    <row r="36" ht="51.9" customHeight="1" s="26">
      <c r="A36" s="65" t="inlineStr">
        <is>
          <t>EV-CP-032</t>
        </is>
      </c>
      <c r="B36" s="65" t="inlineStr">
        <is>
          <t>CP-032</t>
        </is>
      </c>
      <c r="C36" s="65" t="inlineStr">
        <is>
          <t>HU-18</t>
        </is>
      </c>
      <c r="D36" s="65" t="inlineStr">
        <is>
          <t>Fila de informe</t>
        </is>
      </c>
      <c r="E36" s="65" t="inlineStr">
        <is>
          <t>Fila de test_cp_desactivar_ya_inactivo_409 en el informe pytest-html de HU-18</t>
        </is>
      </c>
      <c r="F36" s="65" t="inlineStr">
        <is>
          <t>pytest_hu18.html</t>
        </is>
      </c>
      <c r="G36" s="65" t="inlineStr">
        <is>
          <t>backend/qa/03_Evidencias/HU18/</t>
        </is>
      </c>
      <c r="H36" s="65" t="inlineStr">
        <is>
          <t>QA</t>
        </is>
      </c>
      <c r="I36" s="65" t="inlineStr">
        <is>
          <t>30/10/2026 08:44</t>
        </is>
      </c>
      <c r="J36" s="65" t="inlineStr">
        <is>
          <t>49</t>
        </is>
      </c>
      <c r="K36" s="65" t="inlineStr">
        <is>
          <t>b7628fc01fe556499a58567a1bef67a0dd0af5de591a06fac865a85705ef299b</t>
        </is>
      </c>
      <c r="L36" s="65" t="inlineStr">
        <is>
          <t>27ac90a (qa-elliot, incluye dccdb60)</t>
        </is>
      </c>
      <c r="M36" s="66" t="inlineStr">
        <is>
          <t>Adjuntada</t>
        </is>
      </c>
      <c r="N36" s="66" t="inlineStr">
        <is>
          <t>Aprobado</t>
        </is>
      </c>
      <c r="O36" s="65" t="inlineStr"/>
    </row>
    <row r="37" ht="51.9" customHeight="1" s="26">
      <c r="A37" s="65" t="inlineStr">
        <is>
          <t>EV-CP-033</t>
        </is>
      </c>
      <c r="B37" s="65" t="inlineStr">
        <is>
          <t>CP-033</t>
        </is>
      </c>
      <c r="C37" s="65" t="inlineStr">
        <is>
          <t>HU-18</t>
        </is>
      </c>
      <c r="D37" s="65" t="inlineStr">
        <is>
          <t>Fila de informe</t>
        </is>
      </c>
      <c r="E37" s="65" t="inlineStr">
        <is>
          <t>Fila de test_cp_desactivar_inexistente_404 en el informe pytest-html de HU-18</t>
        </is>
      </c>
      <c r="F37" s="65" t="inlineStr">
        <is>
          <t>pytest_hu18.html</t>
        </is>
      </c>
      <c r="G37" s="65" t="inlineStr">
        <is>
          <t>backend/qa/03_Evidencias/HU18/</t>
        </is>
      </c>
      <c r="H37" s="65" t="inlineStr">
        <is>
          <t>QA</t>
        </is>
      </c>
      <c r="I37" s="65" t="inlineStr">
        <is>
          <t>30/10/2026 08:44</t>
        </is>
      </c>
      <c r="J37" s="65" t="inlineStr">
        <is>
          <t>49</t>
        </is>
      </c>
      <c r="K37" s="65" t="inlineStr">
        <is>
          <t>b7628fc01fe556499a58567a1bef67a0dd0af5de591a06fac865a85705ef299b</t>
        </is>
      </c>
      <c r="L37" s="65" t="inlineStr">
        <is>
          <t>27ac90a (qa-elliot, incluye dccdb60)</t>
        </is>
      </c>
      <c r="M37" s="66" t="inlineStr">
        <is>
          <t>Adjuntada</t>
        </is>
      </c>
      <c r="N37" s="66" t="inlineStr">
        <is>
          <t>Aprobado</t>
        </is>
      </c>
      <c r="O37" s="65" t="inlineStr"/>
    </row>
    <row r="38" ht="51.9" customHeight="1" s="26">
      <c r="A38" s="65" t="inlineStr">
        <is>
          <t>EV-CP-034</t>
        </is>
      </c>
      <c r="B38" s="65" t="inlineStr">
        <is>
          <t>CP-034</t>
        </is>
      </c>
      <c r="C38" s="65" t="inlineStr">
        <is>
          <t>HU-18</t>
        </is>
      </c>
      <c r="D38" s="65" t="inlineStr">
        <is>
          <t>Fila de informe</t>
        </is>
      </c>
      <c r="E38" s="65" t="inlineStr">
        <is>
          <t>Fila de test_cp_empresa_sin_suscripcion_vigente_409 en el informe pytest-html de HU-18</t>
        </is>
      </c>
      <c r="F38" s="65" t="inlineStr">
        <is>
          <t>pytest_hu18.html</t>
        </is>
      </c>
      <c r="G38" s="65" t="inlineStr">
        <is>
          <t>backend/qa/03_Evidencias/HU18/</t>
        </is>
      </c>
      <c r="H38" s="65" t="inlineStr">
        <is>
          <t>QA</t>
        </is>
      </c>
      <c r="I38" s="65" t="inlineStr">
        <is>
          <t>30/10/2026 08:44</t>
        </is>
      </c>
      <c r="J38" s="65" t="inlineStr">
        <is>
          <t>49</t>
        </is>
      </c>
      <c r="K38" s="65" t="inlineStr">
        <is>
          <t>b7628fc01fe556499a58567a1bef67a0dd0af5de591a06fac865a85705ef299b</t>
        </is>
      </c>
      <c r="L38" s="65" t="inlineStr">
        <is>
          <t>27ac90a (qa-elliot, incluye dccdb60)</t>
        </is>
      </c>
      <c r="M38" s="66" t="inlineStr">
        <is>
          <t>Adjuntada</t>
        </is>
      </c>
      <c r="N38" s="66" t="inlineStr">
        <is>
          <t>Aprobado</t>
        </is>
      </c>
      <c r="O38" s="65" t="inlineStr"/>
    </row>
    <row r="39" ht="51.9" customHeight="1" s="26">
      <c r="A39" s="65" t="inlineStr">
        <is>
          <t>EV-CP-035</t>
        </is>
      </c>
      <c r="B39" s="65" t="inlineStr">
        <is>
          <t>CP-035</t>
        </is>
      </c>
      <c r="C39" s="65" t="inlineStr">
        <is>
          <t>HU-18</t>
        </is>
      </c>
      <c r="D39" s="65" t="inlineStr">
        <is>
          <t>Fila de informe</t>
        </is>
      </c>
      <c r="E39" s="65" t="inlineStr">
        <is>
          <t>Fila de test_cp_listado_muestra_inactivo_y_filtra_por_estado en el informe pytest-html de HU-18</t>
        </is>
      </c>
      <c r="F39" s="65" t="inlineStr">
        <is>
          <t>pytest_hu18.html</t>
        </is>
      </c>
      <c r="G39" s="65" t="inlineStr">
        <is>
          <t>backend/qa/03_Evidencias/HU18/</t>
        </is>
      </c>
      <c r="H39" s="65" t="inlineStr">
        <is>
          <t>QA</t>
        </is>
      </c>
      <c r="I39" s="65" t="inlineStr">
        <is>
          <t>30/10/2026 08:44</t>
        </is>
      </c>
      <c r="J39" s="65" t="inlineStr">
        <is>
          <t>49</t>
        </is>
      </c>
      <c r="K39" s="65" t="inlineStr">
        <is>
          <t>b7628fc01fe556499a58567a1bef67a0dd0af5de591a06fac865a85705ef299b</t>
        </is>
      </c>
      <c r="L39" s="65" t="inlineStr">
        <is>
          <t>27ac90a (qa-elliot, incluye dccdb60)</t>
        </is>
      </c>
      <c r="M39" s="66" t="inlineStr">
        <is>
          <t>Adjuntada</t>
        </is>
      </c>
      <c r="N39" s="66" t="inlineStr">
        <is>
          <t>Aprobado</t>
        </is>
      </c>
      <c r="O39" s="65" t="inlineStr"/>
    </row>
    <row r="40" ht="51.9" customHeight="1" s="26">
      <c r="A40" s="65" t="inlineStr">
        <is>
          <t>EV-CP-036</t>
        </is>
      </c>
      <c r="B40" s="65" t="inlineStr">
        <is>
          <t>CP-036</t>
        </is>
      </c>
      <c r="C40" s="65" t="inlineStr">
        <is>
          <t>HU-18</t>
        </is>
      </c>
      <c r="D40" s="65" t="inlineStr">
        <is>
          <t>Fila de informe</t>
        </is>
      </c>
      <c r="E40" s="65" t="inlineStr">
        <is>
          <t>Fila de test_cp_reactivar_vuelve_a_activo en el informe pytest-html de HU-18</t>
        </is>
      </c>
      <c r="F40" s="65" t="inlineStr">
        <is>
          <t>pytest_hu18.html</t>
        </is>
      </c>
      <c r="G40" s="65" t="inlineStr">
        <is>
          <t>backend/qa/03_Evidencias/HU18/</t>
        </is>
      </c>
      <c r="H40" s="65" t="inlineStr">
        <is>
          <t>QA</t>
        </is>
      </c>
      <c r="I40" s="65" t="inlineStr">
        <is>
          <t>30/10/2026 08:44</t>
        </is>
      </c>
      <c r="J40" s="65" t="inlineStr">
        <is>
          <t>49</t>
        </is>
      </c>
      <c r="K40" s="65" t="inlineStr">
        <is>
          <t>b7628fc01fe556499a58567a1bef67a0dd0af5de591a06fac865a85705ef299b</t>
        </is>
      </c>
      <c r="L40" s="65" t="inlineStr">
        <is>
          <t>27ac90a (qa-elliot, incluye dccdb60)</t>
        </is>
      </c>
      <c r="M40" s="66" t="inlineStr">
        <is>
          <t>Adjuntada</t>
        </is>
      </c>
      <c r="N40" s="66" t="inlineStr">
        <is>
          <t>Aprobado</t>
        </is>
      </c>
      <c r="O40" s="65" t="inlineStr"/>
    </row>
    <row r="41" ht="51.9" customHeight="1" s="26">
      <c r="A41" s="65" t="inlineStr">
        <is>
          <t>EV-CP-037</t>
        </is>
      </c>
      <c r="B41" s="65" t="inlineStr">
        <is>
          <t>CP-037</t>
        </is>
      </c>
      <c r="C41" s="65" t="inlineStr">
        <is>
          <t>HU-18</t>
        </is>
      </c>
      <c r="D41" s="65" t="inlineStr">
        <is>
          <t>Fila de informe</t>
        </is>
      </c>
      <c r="E41" s="65" t="inlineStr">
        <is>
          <t>Fila de test_cp_reactivar_activo_409 en el informe pytest-html de HU-18</t>
        </is>
      </c>
      <c r="F41" s="65" t="inlineStr">
        <is>
          <t>pytest_hu18.html</t>
        </is>
      </c>
      <c r="G41" s="65" t="inlineStr">
        <is>
          <t>backend/qa/03_Evidencias/HU18/</t>
        </is>
      </c>
      <c r="H41" s="65" t="inlineStr">
        <is>
          <t>QA</t>
        </is>
      </c>
      <c r="I41" s="65" t="inlineStr">
        <is>
          <t>30/10/2026 08:44</t>
        </is>
      </c>
      <c r="J41" s="65" t="inlineStr">
        <is>
          <t>49</t>
        </is>
      </c>
      <c r="K41" s="65" t="inlineStr">
        <is>
          <t>b7628fc01fe556499a58567a1bef67a0dd0af5de591a06fac865a85705ef299b</t>
        </is>
      </c>
      <c r="L41" s="65" t="inlineStr">
        <is>
          <t>27ac90a (qa-elliot, incluye dccdb60)</t>
        </is>
      </c>
      <c r="M41" s="66" t="inlineStr">
        <is>
          <t>Adjuntada</t>
        </is>
      </c>
      <c r="N41" s="66" t="inlineStr">
        <is>
          <t>Aprobado</t>
        </is>
      </c>
      <c r="O41" s="65" t="inlineStr"/>
    </row>
    <row r="42" ht="51.9" customHeight="1" s="26">
      <c r="A42" s="65" t="inlineStr">
        <is>
          <t>EV-CP-038</t>
        </is>
      </c>
      <c r="B42" s="65" t="inlineStr">
        <is>
          <t>CP-038</t>
        </is>
      </c>
      <c r="C42" s="65" t="inlineStr">
        <is>
          <t>HU-18</t>
        </is>
      </c>
      <c r="D42" s="65" t="inlineStr">
        <is>
          <t>Fila de informe</t>
        </is>
      </c>
      <c r="E42" s="65" t="inlineStr">
        <is>
          <t>Fila de test_cp_control_dispositivo_activo_si_se_sondea en el informe pytest-html de HU-18</t>
        </is>
      </c>
      <c r="F42" s="65" t="inlineStr">
        <is>
          <t>pytest_hu18.html</t>
        </is>
      </c>
      <c r="G42" s="65" t="inlineStr">
        <is>
          <t>backend/qa/03_Evidencias/HU18/</t>
        </is>
      </c>
      <c r="H42" s="65" t="inlineStr">
        <is>
          <t>QA</t>
        </is>
      </c>
      <c r="I42" s="65" t="inlineStr">
        <is>
          <t>30/10/2026 08:44</t>
        </is>
      </c>
      <c r="J42" s="65" t="inlineStr">
        <is>
          <t>49</t>
        </is>
      </c>
      <c r="K42" s="65" t="inlineStr">
        <is>
          <t>b7628fc01fe556499a58567a1bef67a0dd0af5de591a06fac865a85705ef299b</t>
        </is>
      </c>
      <c r="L42" s="65" t="inlineStr">
        <is>
          <t>27ac90a (qa-elliot, incluye dccdb60)</t>
        </is>
      </c>
      <c r="M42" s="66" t="inlineStr">
        <is>
          <t>Adjuntada</t>
        </is>
      </c>
      <c r="N42" s="66" t="inlineStr">
        <is>
          <t>Aprobado</t>
        </is>
      </c>
      <c r="O42" s="65" t="inlineStr"/>
    </row>
    <row r="43" ht="51.9" customHeight="1" s="26">
      <c r="A43" s="65" t="inlineStr">
        <is>
          <t>EV-CP-039</t>
        </is>
      </c>
      <c r="B43" s="65" t="inlineStr">
        <is>
          <t>CP-039</t>
        </is>
      </c>
      <c r="C43" s="65" t="inlineStr">
        <is>
          <t>HU-18</t>
        </is>
      </c>
      <c r="D43" s="65" t="inlineStr">
        <is>
          <t>Fila de informe</t>
        </is>
      </c>
      <c r="E43" s="65" t="inlineStr">
        <is>
          <t>Fila de test_cp_dispositivo_desactivado_no_se_sondea en el informe pytest-html de HU-18</t>
        </is>
      </c>
      <c r="F43" s="65" t="inlineStr">
        <is>
          <t>pytest_hu18.html</t>
        </is>
      </c>
      <c r="G43" s="65" t="inlineStr">
        <is>
          <t>backend/qa/03_Evidencias/HU18/</t>
        </is>
      </c>
      <c r="H43" s="65" t="inlineStr">
        <is>
          <t>QA</t>
        </is>
      </c>
      <c r="I43" s="65" t="inlineStr">
        <is>
          <t>30/10/2026 08:44</t>
        </is>
      </c>
      <c r="J43" s="65" t="inlineStr">
        <is>
          <t>49</t>
        </is>
      </c>
      <c r="K43" s="65" t="inlineStr">
        <is>
          <t>b7628fc01fe556499a58567a1bef67a0dd0af5de591a06fac865a85705ef299b</t>
        </is>
      </c>
      <c r="L43" s="65" t="inlineStr">
        <is>
          <t>27ac90a (qa-elliot, incluye dccdb60)</t>
        </is>
      </c>
      <c r="M43" s="66" t="inlineStr">
        <is>
          <t>Adjuntada</t>
        </is>
      </c>
      <c r="N43" s="66" t="inlineStr">
        <is>
          <t>Aprobado</t>
        </is>
      </c>
      <c r="O43" s="65" t="inlineStr">
        <is>
          <t>Ronda 2: el sondeo ya no consulta el FTP del dispositivo desactivado (DEF-04 corregido en dccdb60)</t>
        </is>
      </c>
    </row>
    <row r="44" ht="51.9" customHeight="1" s="26">
      <c r="A44" s="65" t="inlineStr">
        <is>
          <t>EV-CP-040</t>
        </is>
      </c>
      <c r="B44" s="65" t="inlineStr">
        <is>
          <t>CP-040</t>
        </is>
      </c>
      <c r="C44" s="65" t="inlineStr">
        <is>
          <t>HU-18</t>
        </is>
      </c>
      <c r="D44" s="65" t="inlineStr">
        <is>
          <t>Fila de informe</t>
        </is>
      </c>
      <c r="E44" s="65" t="inlineStr">
        <is>
          <t>Fila de test_cp_desactivar_uno_no_detiene_a_otro en el informe pytest-html de HU-18</t>
        </is>
      </c>
      <c r="F44" s="65" t="inlineStr">
        <is>
          <t>pytest_hu18.html</t>
        </is>
      </c>
      <c r="G44" s="65" t="inlineStr">
        <is>
          <t>backend/qa/03_Evidencias/HU18/</t>
        </is>
      </c>
      <c r="H44" s="65" t="inlineStr">
        <is>
          <t>QA</t>
        </is>
      </c>
      <c r="I44" s="65" t="inlineStr">
        <is>
          <t>30/10/2026 08:44</t>
        </is>
      </c>
      <c r="J44" s="65" t="inlineStr">
        <is>
          <t>49</t>
        </is>
      </c>
      <c r="K44" s="65" t="inlineStr">
        <is>
          <t>b7628fc01fe556499a58567a1bef67a0dd0af5de591a06fac865a85705ef299b</t>
        </is>
      </c>
      <c r="L44" s="65" t="inlineStr">
        <is>
          <t>27ac90a (qa-elliot, incluye dccdb60)</t>
        </is>
      </c>
      <c r="M44" s="66" t="inlineStr">
        <is>
          <t>Adjuntada</t>
        </is>
      </c>
      <c r="N44" s="66" t="inlineStr">
        <is>
          <t>Aprobado</t>
        </is>
      </c>
      <c r="O44" s="65" t="inlineStr"/>
    </row>
    <row r="45" ht="51.9" customHeight="1" s="26">
      <c r="A45" s="65" t="inlineStr">
        <is>
          <t>EV-CP-041</t>
        </is>
      </c>
      <c r="B45" s="65" t="inlineStr">
        <is>
          <t>CP-041</t>
        </is>
      </c>
      <c r="C45" s="65" t="inlineStr">
        <is>
          <t>HU-18</t>
        </is>
      </c>
      <c r="D45" s="65" t="inlineStr">
        <is>
          <t>Fila de informe</t>
        </is>
      </c>
      <c r="E45" s="65" t="inlineStr">
        <is>
          <t>Fila de test_cp_reactivar_reanuda_el_sondeo en el informe pytest-html de HU-18</t>
        </is>
      </c>
      <c r="F45" s="65" t="inlineStr">
        <is>
          <t>pytest_hu18.html</t>
        </is>
      </c>
      <c r="G45" s="65" t="inlineStr">
        <is>
          <t>backend/qa/03_Evidencias/HU18/</t>
        </is>
      </c>
      <c r="H45" s="65" t="inlineStr">
        <is>
          <t>QA</t>
        </is>
      </c>
      <c r="I45" s="65" t="inlineStr">
        <is>
          <t>30/10/2026 08:44</t>
        </is>
      </c>
      <c r="J45" s="65" t="inlineStr">
        <is>
          <t>49</t>
        </is>
      </c>
      <c r="K45" s="65" t="inlineStr">
        <is>
          <t>b7628fc01fe556499a58567a1bef67a0dd0af5de591a06fac865a85705ef299b</t>
        </is>
      </c>
      <c r="L45" s="65" t="inlineStr">
        <is>
          <t>27ac90a (qa-elliot, incluye dccdb60)</t>
        </is>
      </c>
      <c r="M45" s="66" t="inlineStr">
        <is>
          <t>Adjuntada</t>
        </is>
      </c>
      <c r="N45" s="66" t="inlineStr">
        <is>
          <t>Aprobado</t>
        </is>
      </c>
      <c r="O45" s="65" t="inlineStr"/>
    </row>
    <row r="46" ht="51.9" customHeight="1" s="26">
      <c r="A46" s="65" t="inlineStr">
        <is>
          <t>EV-CP-042</t>
        </is>
      </c>
      <c r="B46" s="65" t="inlineStr">
        <is>
          <t>CP-042</t>
        </is>
      </c>
      <c r="C46" s="65" t="inlineStr">
        <is>
          <t>HU-18</t>
        </is>
      </c>
      <c r="D46" s="65" t="inlineStr">
        <is>
          <t>Fila de informe</t>
        </is>
      </c>
      <c r="E46" s="65" t="inlineStr">
        <is>
          <t>Fila de test_cp_telemetria_previa_se_conserva en el informe pytest-html de HU-18</t>
        </is>
      </c>
      <c r="F46" s="65" t="inlineStr">
        <is>
          <t>pytest_hu18.html</t>
        </is>
      </c>
      <c r="G46" s="65" t="inlineStr">
        <is>
          <t>backend/qa/03_Evidencias/HU18/</t>
        </is>
      </c>
      <c r="H46" s="65" t="inlineStr">
        <is>
          <t>QA</t>
        </is>
      </c>
      <c r="I46" s="65" t="inlineStr">
        <is>
          <t>30/10/2026 08:44</t>
        </is>
      </c>
      <c r="J46" s="65" t="inlineStr">
        <is>
          <t>49</t>
        </is>
      </c>
      <c r="K46" s="65" t="inlineStr">
        <is>
          <t>b7628fc01fe556499a58567a1bef67a0dd0af5de591a06fac865a85705ef299b</t>
        </is>
      </c>
      <c r="L46" s="65" t="inlineStr">
        <is>
          <t>27ac90a (qa-elliot, incluye dccdb60)</t>
        </is>
      </c>
      <c r="M46" s="66" t="inlineStr">
        <is>
          <t>Adjuntada</t>
        </is>
      </c>
      <c r="N46" s="66" t="inlineStr">
        <is>
          <t>Aprobado</t>
        </is>
      </c>
      <c r="O46" s="65" t="inlineStr"/>
    </row>
    <row r="47" ht="51.9" customHeight="1" s="26">
      <c r="A47" s="65" t="inlineStr">
        <is>
          <t>EV-CP-043</t>
        </is>
      </c>
      <c r="B47" s="65" t="inlineStr">
        <is>
          <t>CP-043</t>
        </is>
      </c>
      <c r="C47" s="65" t="inlineStr">
        <is>
          <t>HU-18</t>
        </is>
      </c>
      <c r="D47" s="65" t="inlineStr">
        <is>
          <t>Fila de informe</t>
        </is>
      </c>
      <c r="E47" s="65" t="inlineStr">
        <is>
          <t>Fila de test_cp_telemetria_sigue_consultable_por_api en el informe pytest-html de HU-18</t>
        </is>
      </c>
      <c r="F47" s="65" t="inlineStr">
        <is>
          <t>pytest_hu18.html</t>
        </is>
      </c>
      <c r="G47" s="65" t="inlineStr">
        <is>
          <t>backend/qa/03_Evidencias/HU18/</t>
        </is>
      </c>
      <c r="H47" s="65" t="inlineStr">
        <is>
          <t>QA</t>
        </is>
      </c>
      <c r="I47" s="65" t="inlineStr">
        <is>
          <t>30/10/2026 08:44</t>
        </is>
      </c>
      <c r="J47" s="65" t="inlineStr">
        <is>
          <t>49</t>
        </is>
      </c>
      <c r="K47" s="65" t="inlineStr">
        <is>
          <t>b7628fc01fe556499a58567a1bef67a0dd0af5de591a06fac865a85705ef299b</t>
        </is>
      </c>
      <c r="L47" s="65" t="inlineStr">
        <is>
          <t>27ac90a (qa-elliot, incluye dccdb60)</t>
        </is>
      </c>
      <c r="M47" s="66" t="inlineStr">
        <is>
          <t>Adjuntada</t>
        </is>
      </c>
      <c r="N47" s="66" t="inlineStr">
        <is>
          <t>Aprobado</t>
        </is>
      </c>
      <c r="O47" s="65" t="inlineStr"/>
    </row>
    <row r="48" ht="51.9" customHeight="1" s="26">
      <c r="A48" s="65" t="inlineStr">
        <is>
          <t>EV-CP-044</t>
        </is>
      </c>
      <c r="B48" s="65" t="inlineStr">
        <is>
          <t>CP-044</t>
        </is>
      </c>
      <c r="C48" s="65" t="inlineStr">
        <is>
          <t>HU-18</t>
        </is>
      </c>
      <c r="D48" s="65" t="inlineStr">
        <is>
          <t>Fila de informe</t>
        </is>
      </c>
      <c r="E48" s="65" t="inlineStr">
        <is>
          <t>Fila de test_cp_roles_autorizados_pueden_desactivar[Técnico CENERIS] en el informe pytest-html de HU-18</t>
        </is>
      </c>
      <c r="F48" s="65" t="inlineStr">
        <is>
          <t>pytest_hu18.html</t>
        </is>
      </c>
      <c r="G48" s="65" t="inlineStr">
        <is>
          <t>backend/qa/03_Evidencias/HU18/</t>
        </is>
      </c>
      <c r="H48" s="65" t="inlineStr">
        <is>
          <t>QA</t>
        </is>
      </c>
      <c r="I48" s="65" t="inlineStr">
        <is>
          <t>30/10/2026 08:44</t>
        </is>
      </c>
      <c r="J48" s="65" t="inlineStr">
        <is>
          <t>49</t>
        </is>
      </c>
      <c r="K48" s="65" t="inlineStr">
        <is>
          <t>b7628fc01fe556499a58567a1bef67a0dd0af5de591a06fac865a85705ef299b</t>
        </is>
      </c>
      <c r="L48" s="65" t="inlineStr">
        <is>
          <t>27ac90a (qa-elliot, incluye dccdb60)</t>
        </is>
      </c>
      <c r="M48" s="66" t="inlineStr">
        <is>
          <t>Adjuntada</t>
        </is>
      </c>
      <c r="N48" s="66" t="inlineStr">
        <is>
          <t>Aprobado</t>
        </is>
      </c>
      <c r="O48" s="65" t="inlineStr"/>
    </row>
    <row r="49" ht="51.9" customHeight="1" s="26">
      <c r="A49" s="65" t="inlineStr">
        <is>
          <t>EV-CP-045</t>
        </is>
      </c>
      <c r="B49" s="65" t="inlineStr">
        <is>
          <t>CP-045</t>
        </is>
      </c>
      <c r="C49" s="65" t="inlineStr">
        <is>
          <t>HU-18</t>
        </is>
      </c>
      <c r="D49" s="65" t="inlineStr">
        <is>
          <t>Fila de informe</t>
        </is>
      </c>
      <c r="E49" s="65" t="inlineStr">
        <is>
          <t>Fila de test_cp_roles_autorizados_pueden_desactivar[Administrador] en el informe pytest-html de HU-18</t>
        </is>
      </c>
      <c r="F49" s="65" t="inlineStr">
        <is>
          <t>pytest_hu18.html</t>
        </is>
      </c>
      <c r="G49" s="65" t="inlineStr">
        <is>
          <t>backend/qa/03_Evidencias/HU18/</t>
        </is>
      </c>
      <c r="H49" s="65" t="inlineStr">
        <is>
          <t>QA</t>
        </is>
      </c>
      <c r="I49" s="65" t="inlineStr">
        <is>
          <t>30/10/2026 08:44</t>
        </is>
      </c>
      <c r="J49" s="65" t="inlineStr">
        <is>
          <t>49</t>
        </is>
      </c>
      <c r="K49" s="65" t="inlineStr">
        <is>
          <t>b7628fc01fe556499a58567a1bef67a0dd0af5de591a06fac865a85705ef299b</t>
        </is>
      </c>
      <c r="L49" s="65" t="inlineStr">
        <is>
          <t>27ac90a (qa-elliot, incluye dccdb60)</t>
        </is>
      </c>
      <c r="M49" s="66" t="inlineStr">
        <is>
          <t>Adjuntada</t>
        </is>
      </c>
      <c r="N49" s="66" t="inlineStr">
        <is>
          <t>Aprobado</t>
        </is>
      </c>
      <c r="O49" s="65" t="inlineStr"/>
    </row>
    <row r="50" ht="51.9" customHeight="1" s="26">
      <c r="A50" s="65" t="inlineStr">
        <is>
          <t>EV-CP-046</t>
        </is>
      </c>
      <c r="B50" s="65" t="inlineStr">
        <is>
          <t>CP-046</t>
        </is>
      </c>
      <c r="C50" s="65" t="inlineStr">
        <is>
          <t>HU-18</t>
        </is>
      </c>
      <c r="D50" s="65" t="inlineStr">
        <is>
          <t>Fila de informe</t>
        </is>
      </c>
      <c r="E50" s="65" t="inlineStr">
        <is>
          <t>Fila de test_cp_solo_lectura_no_puede_desactivar[Técnico CENERIS] en el informe pytest-html de HU-18</t>
        </is>
      </c>
      <c r="F50" s="65" t="inlineStr">
        <is>
          <t>pytest_hu18.html</t>
        </is>
      </c>
      <c r="G50" s="65" t="inlineStr">
        <is>
          <t>backend/qa/03_Evidencias/HU18/</t>
        </is>
      </c>
      <c r="H50" s="65" t="inlineStr">
        <is>
          <t>QA</t>
        </is>
      </c>
      <c r="I50" s="65" t="inlineStr">
        <is>
          <t>30/10/2026 08:44</t>
        </is>
      </c>
      <c r="J50" s="65" t="inlineStr">
        <is>
          <t>49</t>
        </is>
      </c>
      <c r="K50" s="65" t="inlineStr">
        <is>
          <t>b7628fc01fe556499a58567a1bef67a0dd0af5de591a06fac865a85705ef299b</t>
        </is>
      </c>
      <c r="L50" s="65" t="inlineStr">
        <is>
          <t>27ac90a (qa-elliot, incluye dccdb60)</t>
        </is>
      </c>
      <c r="M50" s="66" t="inlineStr">
        <is>
          <t>Adjuntada</t>
        </is>
      </c>
      <c r="N50" s="66" t="inlineStr">
        <is>
          <t>Aprobado</t>
        </is>
      </c>
      <c r="O50" s="65" t="inlineStr"/>
    </row>
    <row r="51" ht="51.9" customHeight="1" s="26">
      <c r="A51" s="65" t="inlineStr">
        <is>
          <t>EV-CP-047</t>
        </is>
      </c>
      <c r="B51" s="65" t="inlineStr">
        <is>
          <t>CP-047</t>
        </is>
      </c>
      <c r="C51" s="65" t="inlineStr">
        <is>
          <t>HU-18</t>
        </is>
      </c>
      <c r="D51" s="65" t="inlineStr">
        <is>
          <t>Fila de informe</t>
        </is>
      </c>
      <c r="E51" s="65" t="inlineStr">
        <is>
          <t>Fila de test_cp_solo_lectura_no_puede_desactivar[Administrador] en el informe pytest-html de HU-18</t>
        </is>
      </c>
      <c r="F51" s="65" t="inlineStr">
        <is>
          <t>pytest_hu18.html</t>
        </is>
      </c>
      <c r="G51" s="65" t="inlineStr">
        <is>
          <t>backend/qa/03_Evidencias/HU18/</t>
        </is>
      </c>
      <c r="H51" s="65" t="inlineStr">
        <is>
          <t>QA</t>
        </is>
      </c>
      <c r="I51" s="65" t="inlineStr">
        <is>
          <t>30/10/2026 08:44</t>
        </is>
      </c>
      <c r="J51" s="65" t="inlineStr">
        <is>
          <t>49</t>
        </is>
      </c>
      <c r="K51" s="65" t="inlineStr">
        <is>
          <t>b7628fc01fe556499a58567a1bef67a0dd0af5de591a06fac865a85705ef299b</t>
        </is>
      </c>
      <c r="L51" s="65" t="inlineStr">
        <is>
          <t>27ac90a (qa-elliot, incluye dccdb60)</t>
        </is>
      </c>
      <c r="M51" s="66" t="inlineStr">
        <is>
          <t>Adjuntada</t>
        </is>
      </c>
      <c r="N51" s="66" t="inlineStr">
        <is>
          <t>Aprobado</t>
        </is>
      </c>
      <c r="O51" s="65" t="inlineStr"/>
    </row>
    <row r="52" ht="51.9" customHeight="1" s="26">
      <c r="A52" s="65" t="inlineStr">
        <is>
          <t>EV-CP-048</t>
        </is>
      </c>
      <c r="B52" s="65" t="inlineStr">
        <is>
          <t>CP-048</t>
        </is>
      </c>
      <c r="C52" s="65" t="inlineStr">
        <is>
          <t>HU-18</t>
        </is>
      </c>
      <c r="D52" s="65" t="inlineStr">
        <is>
          <t>Fila de informe</t>
        </is>
      </c>
      <c r="E52" s="65" t="inlineStr">
        <is>
          <t>Fila de test_cp_cliente_final_no_puede_desactivar en el informe pytest-html de HU-18</t>
        </is>
      </c>
      <c r="F52" s="65" t="inlineStr">
        <is>
          <t>pytest_hu18.html</t>
        </is>
      </c>
      <c r="G52" s="65" t="inlineStr">
        <is>
          <t>backend/qa/03_Evidencias/HU18/</t>
        </is>
      </c>
      <c r="H52" s="65" t="inlineStr">
        <is>
          <t>QA</t>
        </is>
      </c>
      <c r="I52" s="65" t="inlineStr">
        <is>
          <t>30/10/2026 08:44</t>
        </is>
      </c>
      <c r="J52" s="65" t="inlineStr">
        <is>
          <t>49</t>
        </is>
      </c>
      <c r="K52" s="65" t="inlineStr">
        <is>
          <t>b7628fc01fe556499a58567a1bef67a0dd0af5de591a06fac865a85705ef299b</t>
        </is>
      </c>
      <c r="L52" s="65" t="inlineStr">
        <is>
          <t>27ac90a (qa-elliot, incluye dccdb60)</t>
        </is>
      </c>
      <c r="M52" s="66" t="inlineStr">
        <is>
          <t>Adjuntada</t>
        </is>
      </c>
      <c r="N52" s="66" t="inlineStr">
        <is>
          <t>Aprobado</t>
        </is>
      </c>
      <c r="O52" s="65" t="inlineStr"/>
    </row>
    <row r="53" ht="51.9" customHeight="1" s="26">
      <c r="A53" s="65" t="inlineStr">
        <is>
          <t>EV-CP-049</t>
        </is>
      </c>
      <c r="B53" s="65" t="inlineStr">
        <is>
          <t>CP-049</t>
        </is>
      </c>
      <c r="C53" s="65" t="inlineStr">
        <is>
          <t>HU-18</t>
        </is>
      </c>
      <c r="D53" s="65" t="inlineStr">
        <is>
          <t>Fila de informe</t>
        </is>
      </c>
      <c r="E53" s="65" t="inlineStr">
        <is>
          <t>Fila de test_cp_sin_sesion_401 en el informe pytest-html de HU-18</t>
        </is>
      </c>
      <c r="F53" s="65" t="inlineStr">
        <is>
          <t>pytest_hu18.html</t>
        </is>
      </c>
      <c r="G53" s="65" t="inlineStr">
        <is>
          <t>backend/qa/03_Evidencias/HU18/</t>
        </is>
      </c>
      <c r="H53" s="65" t="inlineStr">
        <is>
          <t>QA</t>
        </is>
      </c>
      <c r="I53" s="65" t="inlineStr">
        <is>
          <t>30/10/2026 08:44</t>
        </is>
      </c>
      <c r="J53" s="65" t="inlineStr">
        <is>
          <t>49</t>
        </is>
      </c>
      <c r="K53" s="65" t="inlineStr">
        <is>
          <t>b7628fc01fe556499a58567a1bef67a0dd0af5de591a06fac865a85705ef299b</t>
        </is>
      </c>
      <c r="L53" s="65" t="inlineStr">
        <is>
          <t>27ac90a (qa-elliot, incluye dccdb60)</t>
        </is>
      </c>
      <c r="M53" s="66" t="inlineStr">
        <is>
          <t>Adjuntada</t>
        </is>
      </c>
      <c r="N53" s="66" t="inlineStr">
        <is>
          <t>Aprobado</t>
        </is>
      </c>
      <c r="O53" s="65" t="inlineStr"/>
    </row>
    <row r="54" ht="51.9" customHeight="1" s="26">
      <c r="A54" s="65" t="inlineStr">
        <is>
          <t>EV-CP-050</t>
        </is>
      </c>
      <c r="B54" s="65" t="inlineStr">
        <is>
          <t>CP-050</t>
        </is>
      </c>
      <c r="C54" s="65" t="inlineStr">
        <is>
          <t>HU-18</t>
        </is>
      </c>
      <c r="D54" s="65" t="inlineStr">
        <is>
          <t>Fila de informe</t>
        </is>
      </c>
      <c r="E54" s="65" t="inlineStr">
        <is>
          <t>Fila de test_cp_no_puede_desactivar_dispositivo_de_otra_sede en el informe pytest-html de HU-18</t>
        </is>
      </c>
      <c r="F54" s="65" t="inlineStr">
        <is>
          <t>pytest_hu18.html</t>
        </is>
      </c>
      <c r="G54" s="65" t="inlineStr">
        <is>
          <t>backend/qa/03_Evidencias/HU18/</t>
        </is>
      </c>
      <c r="H54" s="65" t="inlineStr">
        <is>
          <t>QA</t>
        </is>
      </c>
      <c r="I54" s="65" t="inlineStr">
        <is>
          <t>30/10/2026 08:44</t>
        </is>
      </c>
      <c r="J54" s="65" t="inlineStr">
        <is>
          <t>49</t>
        </is>
      </c>
      <c r="K54" s="65" t="inlineStr">
        <is>
          <t>b7628fc01fe556499a58567a1bef67a0dd0af5de591a06fac865a85705ef299b</t>
        </is>
      </c>
      <c r="L54" s="65" t="inlineStr">
        <is>
          <t>27ac90a (qa-elliot, incluye dccdb60)</t>
        </is>
      </c>
      <c r="M54" s="66" t="inlineStr">
        <is>
          <t>Adjuntada</t>
        </is>
      </c>
      <c r="N54" s="66" t="inlineStr">
        <is>
          <t>Aprobado</t>
        </is>
      </c>
      <c r="O54" s="65" t="inlineStr"/>
    </row>
    <row r="55" ht="51.9" customHeight="1" s="26">
      <c r="A55" s="65" t="inlineStr">
        <is>
          <t>EV-CP-051</t>
        </is>
      </c>
      <c r="B55" s="65" t="inlineStr">
        <is>
          <t>CP-051</t>
        </is>
      </c>
      <c r="C55" s="65" t="inlineStr">
        <is>
          <t>HU-18</t>
        </is>
      </c>
      <c r="D55" s="65" t="inlineStr">
        <is>
          <t>Fila de informe</t>
        </is>
      </c>
      <c r="E55" s="65" t="inlineStr">
        <is>
          <t>Fila de test_cp_ftp_real_desactivar_detiene_el_polling (servidor FTP local real) en pytest-html</t>
        </is>
      </c>
      <c r="F55" s="65" t="inlineStr">
        <is>
          <t>pytest_hu18_ftp_real.html</t>
        </is>
      </c>
      <c r="G55" s="65" t="inlineStr">
        <is>
          <t>backend/qa/03_Evidencias/HU18/</t>
        </is>
      </c>
      <c r="H55" s="65" t="inlineStr">
        <is>
          <t>QA</t>
        </is>
      </c>
      <c r="I55" s="65" t="inlineStr">
        <is>
          <t>30/10/2026 08:44</t>
        </is>
      </c>
      <c r="J55" s="65" t="inlineStr">
        <is>
          <t>33</t>
        </is>
      </c>
      <c r="K55" s="65" t="inlineStr">
        <is>
          <t>1366ccd11437848ffd6bab0852f02dbcb84d9ecf5c73c91d1a0d1561f153b065</t>
        </is>
      </c>
      <c r="L55" s="65" t="inlineStr">
        <is>
          <t>27ac90a (qa-elliot, incluye dccdb60)</t>
        </is>
      </c>
      <c r="M55" s="66" t="inlineStr">
        <is>
          <t>Adjuntada</t>
        </is>
      </c>
      <c r="N55" s="66" t="inlineStr">
        <is>
          <t>Aprobado</t>
        </is>
      </c>
      <c r="O55" s="65" t="inlineStr">
        <is>
          <t>Ronda 2: el sondeo ya no consulta el FTP del dispositivo desactivado (DEF-04 corregido en dccdb60)</t>
        </is>
      </c>
    </row>
    <row r="56" ht="51.9" customHeight="1" s="26">
      <c r="A56" s="65" t="inlineStr">
        <is>
          <t>EV-CP-052</t>
        </is>
      </c>
      <c r="B56" s="65" t="inlineStr">
        <is>
          <t>CP-052</t>
        </is>
      </c>
      <c r="C56" s="65" t="inlineStr">
        <is>
          <t>HU-18</t>
        </is>
      </c>
      <c r="D56" s="65" t="inlineStr">
        <is>
          <t>Captura</t>
        </is>
      </c>
      <c r="E56" s="65" t="inlineStr">
        <is>
          <t>Captura de pantalla de la app local: CP-UI-01 CA1: Desactivar sobre un dispositivo Activo pide confirmación</t>
        </is>
      </c>
      <c r="F56" s="65" t="inlineStr">
        <is>
          <t>EV-CP-052_modal-confirmacion.png</t>
        </is>
      </c>
      <c r="G56" s="65" t="inlineStr">
        <is>
          <t>backend/qa/03_Evidencias/HU18/</t>
        </is>
      </c>
      <c r="H56" s="65" t="inlineStr">
        <is>
          <t>QA</t>
        </is>
      </c>
      <c r="I56" s="65" t="inlineStr">
        <is>
          <t>28/10/2026 15:22</t>
        </is>
      </c>
      <c r="J56" s="65" t="inlineStr">
        <is>
          <t>166</t>
        </is>
      </c>
      <c r="K56" s="65" t="inlineStr">
        <is>
          <t>7c194dc4b9379803c7e10774c5ed0f506d30d2fad14b7ceb951086c26d6702cc</t>
        </is>
      </c>
      <c r="L56" s="65" t="inlineStr">
        <is>
          <t>61fdd71 (qa-elliot)</t>
        </is>
      </c>
      <c r="M56" s="66" t="inlineStr">
        <is>
          <t>Adjuntada</t>
        </is>
      </c>
      <c r="N56" s="66" t="inlineStr">
        <is>
          <t>Aprobado</t>
        </is>
      </c>
      <c r="O56" s="65" t="inlineStr"/>
    </row>
    <row r="57" ht="51.9" customHeight="1" s="26">
      <c r="A57" s="65" t="inlineStr">
        <is>
          <t>EV-CP-053</t>
        </is>
      </c>
      <c r="B57" s="65" t="inlineStr">
        <is>
          <t>CP-053</t>
        </is>
      </c>
      <c r="C57" s="65" t="inlineStr">
        <is>
          <t>HU-18</t>
        </is>
      </c>
      <c r="D57" s="65" t="inlineStr">
        <is>
          <t>Fila de informe</t>
        </is>
      </c>
      <c r="E57" s="65" t="inlineStr">
        <is>
          <t>Fila de «CP-UI-02 Cancelar no cambia el estado» en el informe HTML de Playwright</t>
        </is>
      </c>
      <c r="F57" s="65" t="inlineStr">
        <is>
          <t>playwright/index.html</t>
        </is>
      </c>
      <c r="G57" s="65" t="inlineStr">
        <is>
          <t>backend/qa/03_Evidencias/HU18/</t>
        </is>
      </c>
      <c r="H57" s="65" t="inlineStr">
        <is>
          <t>QA</t>
        </is>
      </c>
      <c r="I57" s="65" t="inlineStr">
        <is>
          <t>28/10/2026 15:23</t>
        </is>
      </c>
      <c r="J57" s="65" t="inlineStr">
        <is>
          <t>514</t>
        </is>
      </c>
      <c r="K57" s="65" t="inlineStr">
        <is>
          <t>a5d092fec38f859b99b96863d468901a843e644c92530ae57f814ca5498e682e</t>
        </is>
      </c>
      <c r="L57" s="65" t="inlineStr">
        <is>
          <t>61fdd71 (qa-elliot)</t>
        </is>
      </c>
      <c r="M57" s="66" t="inlineStr">
        <is>
          <t>Adjuntada</t>
        </is>
      </c>
      <c r="N57" s="66" t="inlineStr">
        <is>
          <t>Aprobado</t>
        </is>
      </c>
      <c r="O57" s="65" t="inlineStr"/>
    </row>
    <row r="58" ht="51.9" customHeight="1" s="26">
      <c r="A58" s="65" t="inlineStr">
        <is>
          <t>EV-CP-054</t>
        </is>
      </c>
      <c r="B58" s="65" t="inlineStr">
        <is>
          <t>CP-054</t>
        </is>
      </c>
      <c r="C58" s="65" t="inlineStr">
        <is>
          <t>HU-18</t>
        </is>
      </c>
      <c r="D58" s="65" t="inlineStr">
        <is>
          <t>Captura</t>
        </is>
      </c>
      <c r="E58" s="65" t="inlineStr">
        <is>
          <t>Captura de pantalla de la app local: CP-UI-03 CA2/CA3: confirmar desactiva, muestra el mensaje y ofrece Reactivar</t>
        </is>
      </c>
      <c r="F58" s="65" t="inlineStr">
        <is>
          <t>EV-CP-054_inactivo-con-reactivar.png</t>
        </is>
      </c>
      <c r="G58" s="65" t="inlineStr">
        <is>
          <t>backend/qa/03_Evidencias/HU18/</t>
        </is>
      </c>
      <c r="H58" s="65" t="inlineStr">
        <is>
          <t>QA</t>
        </is>
      </c>
      <c r="I58" s="65" t="inlineStr">
        <is>
          <t>28/10/2026 15:22</t>
        </is>
      </c>
      <c r="J58" s="65" t="inlineStr">
        <is>
          <t>249</t>
        </is>
      </c>
      <c r="K58" s="65" t="inlineStr">
        <is>
          <t>0811379e77d7a84da116cb496cee95682d670d37bab24cc1c15b060022411c76</t>
        </is>
      </c>
      <c r="L58" s="65" t="inlineStr">
        <is>
          <t>61fdd71 (qa-elliot)</t>
        </is>
      </c>
      <c r="M58" s="66" t="inlineStr">
        <is>
          <t>Adjuntada</t>
        </is>
      </c>
      <c r="N58" s="66" t="inlineStr">
        <is>
          <t>Aprobado</t>
        </is>
      </c>
      <c r="O58" s="65" t="inlineStr"/>
    </row>
    <row r="59" ht="51.9" customHeight="1" s="26">
      <c r="A59" s="65" t="inlineStr">
        <is>
          <t>EV-CP-055</t>
        </is>
      </c>
      <c r="B59" s="65" t="inlineStr">
        <is>
          <t>CP-055</t>
        </is>
      </c>
      <c r="C59" s="65" t="inlineStr">
        <is>
          <t>HU-18</t>
        </is>
      </c>
      <c r="D59" s="65" t="inlineStr">
        <is>
          <t>Fila de informe</t>
        </is>
      </c>
      <c r="E59" s="65" t="inlineStr">
        <is>
          <t>Fila de «CP-UI-04 el estado Inactivo persiste al recargar» en el informe HTML de Playwright</t>
        </is>
      </c>
      <c r="F59" s="65" t="inlineStr">
        <is>
          <t>playwright/index.html</t>
        </is>
      </c>
      <c r="G59" s="65" t="inlineStr">
        <is>
          <t>backend/qa/03_Evidencias/HU18/</t>
        </is>
      </c>
      <c r="H59" s="65" t="inlineStr">
        <is>
          <t>QA</t>
        </is>
      </c>
      <c r="I59" s="65" t="inlineStr">
        <is>
          <t>28/10/2026 15:23</t>
        </is>
      </c>
      <c r="J59" s="65" t="inlineStr">
        <is>
          <t>514</t>
        </is>
      </c>
      <c r="K59" s="65" t="inlineStr">
        <is>
          <t>a5d092fec38f859b99b96863d468901a843e644c92530ae57f814ca5498e682e</t>
        </is>
      </c>
      <c r="L59" s="65" t="inlineStr">
        <is>
          <t>61fdd71 (qa-elliot)</t>
        </is>
      </c>
      <c r="M59" s="66" t="inlineStr">
        <is>
          <t>Adjuntada</t>
        </is>
      </c>
      <c r="N59" s="66" t="inlineStr">
        <is>
          <t>Aprobado</t>
        </is>
      </c>
      <c r="O59" s="65" t="inlineStr"/>
    </row>
    <row r="60" ht="51.9" customHeight="1" s="26">
      <c r="A60" s="65" t="inlineStr">
        <is>
          <t>EV-CP-056</t>
        </is>
      </c>
      <c r="B60" s="65" t="inlineStr">
        <is>
          <t>CP-056</t>
        </is>
      </c>
      <c r="C60" s="65" t="inlineStr">
        <is>
          <t>HU-18</t>
        </is>
      </c>
      <c r="D60" s="65" t="inlineStr">
        <is>
          <t>Fila de informe</t>
        </is>
      </c>
      <c r="E60" s="65" t="inlineStr">
        <is>
          <t>Fila de «CP-UI-05 CA3: Reactivar devuelve el dispositivo a Activo» en el informe HTML de Playwright</t>
        </is>
      </c>
      <c r="F60" s="65" t="inlineStr">
        <is>
          <t>playwright/index.html</t>
        </is>
      </c>
      <c r="G60" s="65" t="inlineStr">
        <is>
          <t>backend/qa/03_Evidencias/HU18/</t>
        </is>
      </c>
      <c r="H60" s="65" t="inlineStr">
        <is>
          <t>QA</t>
        </is>
      </c>
      <c r="I60" s="65" t="inlineStr">
        <is>
          <t>28/10/2026 15:23</t>
        </is>
      </c>
      <c r="J60" s="65" t="inlineStr">
        <is>
          <t>514</t>
        </is>
      </c>
      <c r="K60" s="65" t="inlineStr">
        <is>
          <t>a5d092fec38f859b99b96863d468901a843e644c92530ae57f814ca5498e682e</t>
        </is>
      </c>
      <c r="L60" s="65" t="inlineStr">
        <is>
          <t>61fdd71 (qa-elliot)</t>
        </is>
      </c>
      <c r="M60" s="66" t="inlineStr">
        <is>
          <t>Adjuntada</t>
        </is>
      </c>
      <c r="N60" s="66" t="inlineStr">
        <is>
          <t>Aprobado</t>
        </is>
      </c>
      <c r="O60" s="65" t="inlineStr"/>
    </row>
    <row r="61" ht="51.9" customHeight="1" s="26">
      <c r="A61" s="65" t="inlineStr">
        <is>
          <t>EV-CP-057</t>
        </is>
      </c>
      <c r="B61" s="65" t="inlineStr">
        <is>
          <t>CP-057</t>
        </is>
      </c>
      <c r="C61" s="65" t="inlineStr">
        <is>
          <t>HU-18</t>
        </is>
      </c>
      <c r="D61" s="65" t="inlineStr">
        <is>
          <t>Fila de informe</t>
        </is>
      </c>
      <c r="E61" s="65" t="inlineStr">
        <is>
          <t>Fila de «CP-UI-06 Administrador ve la acción Desactivar» en el informe HTML de Playwright</t>
        </is>
      </c>
      <c r="F61" s="65" t="inlineStr">
        <is>
          <t>playwright/index.html</t>
        </is>
      </c>
      <c r="G61" s="65" t="inlineStr">
        <is>
          <t>backend/qa/03_Evidencias/HU18/</t>
        </is>
      </c>
      <c r="H61" s="65" t="inlineStr">
        <is>
          <t>QA</t>
        </is>
      </c>
      <c r="I61" s="65" t="inlineStr">
        <is>
          <t>28/10/2026 15:23</t>
        </is>
      </c>
      <c r="J61" s="65" t="inlineStr">
        <is>
          <t>514</t>
        </is>
      </c>
      <c r="K61" s="65" t="inlineStr">
        <is>
          <t>a5d092fec38f859b99b96863d468901a843e644c92530ae57f814ca5498e682e</t>
        </is>
      </c>
      <c r="L61" s="65" t="inlineStr">
        <is>
          <t>61fdd71 (qa-elliot)</t>
        </is>
      </c>
      <c r="M61" s="66" t="inlineStr">
        <is>
          <t>Adjuntada</t>
        </is>
      </c>
      <c r="N61" s="66" t="inlineStr">
        <is>
          <t>Aprobado</t>
        </is>
      </c>
      <c r="O61" s="65" t="inlineStr"/>
    </row>
    <row r="62" ht="51.9" customHeight="1" s="26">
      <c r="A62" s="65" t="inlineStr">
        <is>
          <t>EV-CP-058</t>
        </is>
      </c>
      <c r="B62" s="65" t="inlineStr">
        <is>
          <t>CP-058</t>
        </is>
      </c>
      <c r="C62" s="65" t="inlineStr">
        <is>
          <t>HU-18</t>
        </is>
      </c>
      <c r="D62" s="65" t="inlineStr">
        <is>
          <t>Captura</t>
        </is>
      </c>
      <c r="E62" s="65" t="inlineStr">
        <is>
          <t>Captura de pantalla de la app local: CP-UI-07 Cliente Final no ve Desactivar ni Reactivar</t>
        </is>
      </c>
      <c r="F62" s="65" t="inlineStr">
        <is>
          <t>EV-CP-058_cliente-sin-acciones.png</t>
        </is>
      </c>
      <c r="G62" s="65" t="inlineStr">
        <is>
          <t>backend/qa/03_Evidencias/HU18/</t>
        </is>
      </c>
      <c r="H62" s="65" t="inlineStr">
        <is>
          <t>QA</t>
        </is>
      </c>
      <c r="I62" s="65" t="inlineStr">
        <is>
          <t>28/10/2026 15:23</t>
        </is>
      </c>
      <c r="J62" s="65" t="inlineStr">
        <is>
          <t>223</t>
        </is>
      </c>
      <c r="K62" s="65" t="inlineStr">
        <is>
          <t>0724f55009ae90f35e7974d1097b7e0f08ec4a1bda4cb340ba3ff9b88f238122</t>
        </is>
      </c>
      <c r="L62" s="65" t="inlineStr">
        <is>
          <t>61fdd71 (qa-elliot)</t>
        </is>
      </c>
      <c r="M62" s="66" t="inlineStr">
        <is>
          <t>Adjuntada</t>
        </is>
      </c>
      <c r="N62" s="66" t="inlineStr">
        <is>
          <t>Aprobado</t>
        </is>
      </c>
      <c r="O62" s="65" t="inlineStr"/>
    </row>
    <row r="63" ht="51.9" customHeight="1" s="26">
      <c r="A63" s="65" t="inlineStr">
        <is>
          <t>EV-HU18-INF-01</t>
        </is>
      </c>
      <c r="B63" s="65" t="inlineStr">
        <is>
          <t>—</t>
        </is>
      </c>
      <c r="C63" s="65" t="inlineStr">
        <is>
          <t>HU-18</t>
        </is>
      </c>
      <c r="D63" s="65" t="inlineStr">
        <is>
          <t>Informe HTML</t>
        </is>
      </c>
      <c r="E63" s="65" t="inlineStr">
        <is>
          <t>Informe pytest-html de HU-18: 21 pruebas (21 aprobadas)</t>
        </is>
      </c>
      <c r="F63" s="65" t="inlineStr">
        <is>
          <t>pytest_hu18.html</t>
        </is>
      </c>
      <c r="G63" s="65" t="inlineStr">
        <is>
          <t>backend/qa/03_Evidencias/HU18/</t>
        </is>
      </c>
      <c r="H63" s="65" t="inlineStr">
        <is>
          <t>QA</t>
        </is>
      </c>
      <c r="I63" s="65" t="inlineStr">
        <is>
          <t>30/10/2026 08:44</t>
        </is>
      </c>
      <c r="J63" s="65" t="inlineStr">
        <is>
          <t>49</t>
        </is>
      </c>
      <c r="K63" s="65" t="inlineStr">
        <is>
          <t>b7628fc01fe556499a58567a1bef67a0dd0af5de591a06fac865a85705ef299b</t>
        </is>
      </c>
      <c r="L63" s="65" t="inlineStr">
        <is>
          <t>27ac90a (qa-elliot, incluye dccdb60)</t>
        </is>
      </c>
      <c r="M63" s="66" t="inlineStr">
        <is>
          <t>Adjuntada</t>
        </is>
      </c>
      <c r="N63" s="66" t="inlineStr">
        <is>
          <t>Informativo</t>
        </is>
      </c>
      <c r="O63" s="65" t="inlineStr"/>
    </row>
    <row r="64" ht="51.9" customHeight="1" s="26">
      <c r="A64" s="65" t="inlineStr">
        <is>
          <t>EV-HU18-INF-02</t>
        </is>
      </c>
      <c r="B64" s="65" t="inlineStr">
        <is>
          <t>—</t>
        </is>
      </c>
      <c r="C64" s="65" t="inlineStr">
        <is>
          <t>HU-18</t>
        </is>
      </c>
      <c r="D64" s="65" t="inlineStr">
        <is>
          <t>Informe HTML</t>
        </is>
      </c>
      <c r="E64" s="65" t="inlineStr">
        <is>
          <t>Informe pytest-html del sondeo contra un servidor FTP local real (1 prueba, aprobada)</t>
        </is>
      </c>
      <c r="F64" s="65" t="inlineStr">
        <is>
          <t>pytest_hu18_ftp_real.html</t>
        </is>
      </c>
      <c r="G64" s="65" t="inlineStr">
        <is>
          <t>backend/qa/03_Evidencias/HU18/</t>
        </is>
      </c>
      <c r="H64" s="65" t="inlineStr">
        <is>
          <t>QA</t>
        </is>
      </c>
      <c r="I64" s="65" t="inlineStr">
        <is>
          <t>30/10/2026 08:44</t>
        </is>
      </c>
      <c r="J64" s="65" t="inlineStr">
        <is>
          <t>33</t>
        </is>
      </c>
      <c r="K64" s="65" t="inlineStr">
        <is>
          <t>1366ccd11437848ffd6bab0852f02dbcb84d9ecf5c73c91d1a0d1561f153b065</t>
        </is>
      </c>
      <c r="L64" s="65" t="inlineStr">
        <is>
          <t>27ac90a (qa-elliot, incluye dccdb60)</t>
        </is>
      </c>
      <c r="M64" s="66" t="inlineStr">
        <is>
          <t>Adjuntada</t>
        </is>
      </c>
      <c r="N64" s="66" t="inlineStr">
        <is>
          <t>Informativo</t>
        </is>
      </c>
      <c r="O64" s="65" t="inlineStr"/>
    </row>
    <row r="65" ht="51.9" customHeight="1" s="26">
      <c r="A65" s="65" t="inlineStr">
        <is>
          <t>EV-HU18-INF-03</t>
        </is>
      </c>
      <c r="B65" s="65" t="inlineStr">
        <is>
          <t>—</t>
        </is>
      </c>
      <c r="C65" s="65" t="inlineStr">
        <is>
          <t>HU-18</t>
        </is>
      </c>
      <c r="D65" s="65" t="inlineStr">
        <is>
          <t>Informe HTML</t>
        </is>
      </c>
      <c r="E65" s="65" t="inlineStr">
        <is>
          <t>Informe HTML de Playwright: 7 pruebas de UI aprobadas</t>
        </is>
      </c>
      <c r="F65" s="65" t="inlineStr">
        <is>
          <t>playwright/index.html</t>
        </is>
      </c>
      <c r="G65" s="65" t="inlineStr">
        <is>
          <t>backend/qa/03_Evidencias/HU18/</t>
        </is>
      </c>
      <c r="H65" s="65" t="inlineStr">
        <is>
          <t>QA</t>
        </is>
      </c>
      <c r="I65" s="65" t="inlineStr">
        <is>
          <t>28/10/2026 15:23</t>
        </is>
      </c>
      <c r="J65" s="65" t="inlineStr">
        <is>
          <t>514</t>
        </is>
      </c>
      <c r="K65" s="65" t="inlineStr">
        <is>
          <t>a5d092fec38f859b99b96863d468901a843e644c92530ae57f814ca5498e682e</t>
        </is>
      </c>
      <c r="L65" s="65" t="inlineStr">
        <is>
          <t>61fdd71 (qa-elliot)</t>
        </is>
      </c>
      <c r="M65" s="66" t="inlineStr">
        <is>
          <t>Adjuntada</t>
        </is>
      </c>
      <c r="N65" s="66" t="inlineStr">
        <is>
          <t>Informativo</t>
        </is>
      </c>
      <c r="O65" s="65" t="inlineStr"/>
    </row>
    <row r="66" ht="51.9" customHeight="1" s="26">
      <c r="A66" s="65" t="inlineStr">
        <is>
          <t>EV-HU18-INF-04</t>
        </is>
      </c>
      <c r="B66" s="65" t="inlineStr">
        <is>
          <t>—</t>
        </is>
      </c>
      <c r="C66" s="65" t="inlineStr">
        <is>
          <t>HU-18</t>
        </is>
      </c>
      <c r="D66" s="65" t="inlineStr">
        <is>
          <t>Informe HTML</t>
        </is>
      </c>
      <c r="E66" s="65" t="inlineStr">
        <is>
          <t>Informe pytest-html de la regresión de suites existentes: 214 pruebas (160 aprobadas, 54 fallidas, OBS-11)</t>
        </is>
      </c>
      <c r="F66" s="65" t="inlineStr">
        <is>
          <t>pytest_regresion.html</t>
        </is>
      </c>
      <c r="G66" s="65" t="inlineStr">
        <is>
          <t>backend/qa/03_Evidencias/HU18/</t>
        </is>
      </c>
      <c r="H66" s="65" t="inlineStr">
        <is>
          <t>QA</t>
        </is>
      </c>
      <c r="I66" s="65" t="inlineStr">
        <is>
          <t>30/10/2026 08:47</t>
        </is>
      </c>
      <c r="J66" s="65" t="inlineStr">
        <is>
          <t>325</t>
        </is>
      </c>
      <c r="K66" s="65" t="inlineStr">
        <is>
          <t>b7264d2301db9e12dc7018819a51a13ac5cc588d142eeb155f5731aeeef485d6</t>
        </is>
      </c>
      <c r="L66" s="65" t="inlineStr">
        <is>
          <t>27ac90a (qa-elliot, incluye dccdb60)</t>
        </is>
      </c>
      <c r="M66" s="66" t="inlineStr">
        <is>
          <t>Adjuntada</t>
        </is>
      </c>
      <c r="N66" s="66" t="inlineStr">
        <is>
          <t>Informativo</t>
        </is>
      </c>
      <c r="O66" s="65" t="inlineStr"/>
    </row>
    <row r="67" ht="51.9" customHeight="1" s="26">
      <c r="A67" s="65" t="inlineStr">
        <is>
          <t>EV-HU18-INF-05</t>
        </is>
      </c>
      <c r="B67" s="65" t="inlineStr">
        <is>
          <t>EV-HU18-INF-01</t>
        </is>
      </c>
      <c r="C67" s="65" t="inlineStr">
        <is>
          <t>HU-18</t>
        </is>
      </c>
      <c r="D67" s="65" t="inlineStr">
        <is>
          <t>Captura</t>
        </is>
      </c>
      <c r="E67" s="65" t="inlineStr">
        <is>
          <t>Captura del informe pytest de HU-18 (extracto: primeras 10 de 21 filas) usada en el informe PDF</t>
        </is>
      </c>
      <c r="F67" s="65" t="inlineStr">
        <is>
          <t>EV-HU18-INF-05_captura-informe-pytest.png</t>
        </is>
      </c>
      <c r="G67" s="65" t="inlineStr">
        <is>
          <t>backend/qa/03_Evidencias/HU18/</t>
        </is>
      </c>
      <c r="H67" s="65" t="inlineStr">
        <is>
          <t>QA</t>
        </is>
      </c>
      <c r="I67" s="65" t="inlineStr">
        <is>
          <t>30/10/2026 08:45</t>
        </is>
      </c>
      <c r="J67" s="65" t="inlineStr">
        <is>
          <t>195</t>
        </is>
      </c>
      <c r="K67" s="65" t="inlineStr">
        <is>
          <t>4b3a2179be87b3b64a3cf41db528d1e304d97211dba938b3d314c32585b726bd</t>
        </is>
      </c>
      <c r="L67" s="65" t="inlineStr">
        <is>
          <t>27ac90a (qa-elliot, incluye dccdb60)</t>
        </is>
      </c>
      <c r="M67" s="66" t="inlineStr">
        <is>
          <t>Adjuntada</t>
        </is>
      </c>
      <c r="N67" s="66" t="inlineStr">
        <is>
          <t>Informativo</t>
        </is>
      </c>
      <c r="O67" s="65" t="inlineStr"/>
    </row>
    <row r="68" ht="51.9" customHeight="1" s="26">
      <c r="A68" s="65" t="inlineStr">
        <is>
          <t>EV-HU18-INF-06</t>
        </is>
      </c>
      <c r="B68" s="65" t="inlineStr">
        <is>
          <t>EV-HU18-INF-02</t>
        </is>
      </c>
      <c r="C68" s="65" t="inlineStr">
        <is>
          <t>HU-18</t>
        </is>
      </c>
      <c r="D68" s="65" t="inlineStr">
        <is>
          <t>Captura</t>
        </is>
      </c>
      <c r="E68" s="65" t="inlineStr">
        <is>
          <t>Captura del informe del sondeo con FTP real (la única fila: aprueba)</t>
        </is>
      </c>
      <c r="F68" s="65" t="inlineStr">
        <is>
          <t>EV-HU18-INF-06_captura-informe-ftp-real.png</t>
        </is>
      </c>
      <c r="G68" s="65" t="inlineStr">
        <is>
          <t>backend/qa/03_Evidencias/HU18/</t>
        </is>
      </c>
      <c r="H68" s="65" t="inlineStr">
        <is>
          <t>QA</t>
        </is>
      </c>
      <c r="I68" s="65" t="inlineStr">
        <is>
          <t>30/10/2026 08:45</t>
        </is>
      </c>
      <c r="J68" s="65" t="inlineStr">
        <is>
          <t>65</t>
        </is>
      </c>
      <c r="K68" s="65" t="inlineStr">
        <is>
          <t>e9c98b377d39c1f849d39879763a682280997070c719033cebeeef82bbe7d55f</t>
        </is>
      </c>
      <c r="L68" s="65" t="inlineStr">
        <is>
          <t>27ac90a (qa-elliot, incluye dccdb60)</t>
        </is>
      </c>
      <c r="M68" s="66" t="inlineStr">
        <is>
          <t>Adjuntada</t>
        </is>
      </c>
      <c r="N68" s="66" t="inlineStr">
        <is>
          <t>Informativo</t>
        </is>
      </c>
      <c r="O68" s="65" t="inlineStr"/>
    </row>
    <row r="69" ht="51.9" customHeight="1" s="26">
      <c r="A69" s="65" t="inlineStr">
        <is>
          <t>EV-HU18-INF-07</t>
        </is>
      </c>
      <c r="B69" s="65" t="inlineStr">
        <is>
          <t>EV-HU18-INF-03</t>
        </is>
      </c>
      <c r="C69" s="65" t="inlineStr">
        <is>
          <t>HU-18</t>
        </is>
      </c>
      <c r="D69" s="65" t="inlineStr">
        <is>
          <t>Captura</t>
        </is>
      </c>
      <c r="E69" s="65" t="inlineStr">
        <is>
          <t>Captura del informe de Playwright (cabecera con contadores y las 7 pruebas)</t>
        </is>
      </c>
      <c r="F69" s="65" t="inlineStr">
        <is>
          <t>EV-HU18-INF-07_captura-informe-playwright.png</t>
        </is>
      </c>
      <c r="G69" s="65" t="inlineStr">
        <is>
          <t>backend/qa/03_Evidencias/HU18/</t>
        </is>
      </c>
      <c r="H69" s="65" t="inlineStr">
        <is>
          <t>QA</t>
        </is>
      </c>
      <c r="I69" s="65" t="inlineStr">
        <is>
          <t>30/10/2026 08:45</t>
        </is>
      </c>
      <c r="J69" s="65" t="inlineStr">
        <is>
          <t>180</t>
        </is>
      </c>
      <c r="K69" s="65" t="inlineStr">
        <is>
          <t>3378e0c8a4c6b27a87b4052d9515a939db18de48e08e8481322a33aec02de8be</t>
        </is>
      </c>
      <c r="L69" s="65" t="inlineStr">
        <is>
          <t>27ac90a (qa-elliot, incluye dccdb60)</t>
        </is>
      </c>
      <c r="M69" s="66" t="inlineStr">
        <is>
          <t>Adjuntada</t>
        </is>
      </c>
      <c r="N69" s="66" t="inlineStr">
        <is>
          <t>Informativo</t>
        </is>
      </c>
      <c r="O69" s="65" t="inlineStr"/>
    </row>
    <row r="70" ht="51.9" customHeight="1" s="26">
      <c r="A70" s="65" t="inlineStr">
        <is>
          <t>EV-HU18-INF-08</t>
        </is>
      </c>
      <c r="B70" s="65" t="inlineStr">
        <is>
          <t>EV-HU18-INF-04</t>
        </is>
      </c>
      <c r="C70" s="65" t="inlineStr">
        <is>
          <t>HU-18</t>
        </is>
      </c>
      <c r="D70" s="65" t="inlineStr">
        <is>
          <t>Captura</t>
        </is>
      </c>
      <c r="E70" s="65" t="inlineStr">
        <is>
          <t>Captura de la regresión (extracto: primeras 10 de 214 filas)</t>
        </is>
      </c>
      <c r="F70" s="65" t="inlineStr">
        <is>
          <t>EV-HU18-INF-08_captura-informe-regresion-extracto.png</t>
        </is>
      </c>
      <c r="G70" s="65" t="inlineStr">
        <is>
          <t>backend/qa/03_Evidencias/HU18/</t>
        </is>
      </c>
      <c r="H70" s="65" t="inlineStr">
        <is>
          <t>QA</t>
        </is>
      </c>
      <c r="I70" s="65" t="inlineStr">
        <is>
          <t>30/10/2026 08:45</t>
        </is>
      </c>
      <c r="J70" s="65" t="inlineStr">
        <is>
          <t>178</t>
        </is>
      </c>
      <c r="K70" s="65" t="inlineStr">
        <is>
          <t>47f0ca3c03b75e28a7d8f3fba1eb7a8f6e6446fd840a5a4c8bc3355670fa2c3f</t>
        </is>
      </c>
      <c r="L70" s="65" t="inlineStr">
        <is>
          <t>27ac90a (qa-elliot, incluye dccdb60)</t>
        </is>
      </c>
      <c r="M70" s="66" t="inlineStr">
        <is>
          <t>Adjuntada</t>
        </is>
      </c>
      <c r="N70" s="66" t="inlineStr">
        <is>
          <t>Informativo</t>
        </is>
      </c>
      <c r="O70" s="65" t="inlineStr"/>
    </row>
    <row r="71" ht="51.9" customHeight="1" s="26">
      <c r="A71" s="65" t="inlineStr">
        <is>
          <t>EV-CP-059</t>
        </is>
      </c>
      <c r="B71" s="65" t="inlineStr">
        <is>
          <t>CP-059</t>
        </is>
      </c>
      <c r="C71" s="65" t="inlineStr">
        <is>
          <t>HU-26</t>
        </is>
      </c>
      <c r="D71" s="65" t="inlineStr">
        <is>
          <t>Fila de informe</t>
        </is>
      </c>
      <c r="E71" s="65" t="inlineStr">
        <is>
          <t>Fila de test_ca1_listado_muestra_solo_ubicaciones_asignadas en el informe pytest-html</t>
        </is>
      </c>
      <c r="F71" s="65" t="inlineStr">
        <is>
          <t>pytest_hu26.html</t>
        </is>
      </c>
      <c r="G71" s="65" t="inlineStr">
        <is>
          <t>backend/qa/03_Evidencias/HU26/</t>
        </is>
      </c>
      <c r="H71" s="65" t="inlineStr">
        <is>
          <t>QA</t>
        </is>
      </c>
      <c r="I71" s="65" t="inlineStr">
        <is>
          <t>30/10/2026 09:14</t>
        </is>
      </c>
      <c r="J71" s="65" t="inlineStr">
        <is>
          <t>51</t>
        </is>
      </c>
      <c r="K71" s="65" t="inlineStr">
        <is>
          <t>14dccaff35b45cbd22917ef8c56a68b171231e5aa435e79f3cd1fce847edf66f</t>
        </is>
      </c>
      <c r="L71" s="65" t="inlineStr">
        <is>
          <t>c4fadff (qa-elliot)</t>
        </is>
      </c>
      <c r="M71" s="66" t="inlineStr">
        <is>
          <t>Adjuntada</t>
        </is>
      </c>
      <c r="N71" s="66" t="inlineStr">
        <is>
          <t>Aprobado</t>
        </is>
      </c>
      <c r="O71" s="65" t="n"/>
    </row>
    <row r="72" ht="51.9" customHeight="1" s="26">
      <c r="A72" s="65" t="inlineStr">
        <is>
          <t>EV-CP-060</t>
        </is>
      </c>
      <c r="B72" s="65" t="inlineStr">
        <is>
          <t>CP-060</t>
        </is>
      </c>
      <c r="C72" s="65" t="inlineStr">
        <is>
          <t>HU-26</t>
        </is>
      </c>
      <c r="D72" s="65" t="inlineStr">
        <is>
          <t>Fila de informe</t>
        </is>
      </c>
      <c r="E72" s="65" t="inlineStr">
        <is>
          <t>Fila de test_ca1_listado_trae_nombre_y_va_ordenado en el informe pytest-html</t>
        </is>
      </c>
      <c r="F72" s="65" t="inlineStr">
        <is>
          <t>pytest_hu26.html</t>
        </is>
      </c>
      <c r="G72" s="65" t="inlineStr">
        <is>
          <t>backend/qa/03_Evidencias/HU26/</t>
        </is>
      </c>
      <c r="H72" s="65" t="inlineStr">
        <is>
          <t>QA</t>
        </is>
      </c>
      <c r="I72" s="65" t="inlineStr">
        <is>
          <t>30/10/2026 09:14</t>
        </is>
      </c>
      <c r="J72" s="65" t="inlineStr">
        <is>
          <t>51</t>
        </is>
      </c>
      <c r="K72" s="65" t="inlineStr">
        <is>
          <t>14dccaff35b45cbd22917ef8c56a68b171231e5aa435e79f3cd1fce847edf66f</t>
        </is>
      </c>
      <c r="L72" s="65" t="inlineStr">
        <is>
          <t>c4fadff (qa-elliot)</t>
        </is>
      </c>
      <c r="M72" s="66" t="inlineStr">
        <is>
          <t>Adjuntada</t>
        </is>
      </c>
      <c r="N72" s="66" t="inlineStr">
        <is>
          <t>Aprobado</t>
        </is>
      </c>
      <c r="O72" s="65" t="n"/>
    </row>
    <row r="73" ht="51.9" customHeight="1" s="26">
      <c r="A73" s="65" t="inlineStr">
        <is>
          <t>EV-CP-061</t>
        </is>
      </c>
      <c r="B73" s="65" t="inlineStr">
        <is>
          <t>CP-061</t>
        </is>
      </c>
      <c r="C73" s="65" t="inlineStr">
        <is>
          <t>HU-26</t>
        </is>
      </c>
      <c r="D73" s="65" t="inlineStr">
        <is>
          <t>Fila de informe</t>
        </is>
      </c>
      <c r="E73" s="65" t="inlineStr">
        <is>
          <t>Fila de test_ca1_usuario_sin_ubicaciones_asignadas_recibe_lista_vacia en el informe pytest-html</t>
        </is>
      </c>
      <c r="F73" s="65" t="inlineStr">
        <is>
          <t>pytest_hu26.html</t>
        </is>
      </c>
      <c r="G73" s="65" t="inlineStr">
        <is>
          <t>backend/qa/03_Evidencias/HU26/</t>
        </is>
      </c>
      <c r="H73" s="65" t="inlineStr">
        <is>
          <t>QA</t>
        </is>
      </c>
      <c r="I73" s="65" t="inlineStr">
        <is>
          <t>30/10/2026 09:14</t>
        </is>
      </c>
      <c r="J73" s="65" t="inlineStr">
        <is>
          <t>51</t>
        </is>
      </c>
      <c r="K73" s="65" t="inlineStr">
        <is>
          <t>14dccaff35b45cbd22917ef8c56a68b171231e5aa435e79f3cd1fce847edf66f</t>
        </is>
      </c>
      <c r="L73" s="65" t="inlineStr">
        <is>
          <t>c4fadff (qa-elliot)</t>
        </is>
      </c>
      <c r="M73" s="66" t="inlineStr">
        <is>
          <t>Adjuntada</t>
        </is>
      </c>
      <c r="N73" s="66" t="inlineStr">
        <is>
          <t>Aprobado</t>
        </is>
      </c>
      <c r="O73" s="65" t="n"/>
    </row>
    <row r="74" ht="51.9" customHeight="1" s="26">
      <c r="A74" s="65" t="inlineStr">
        <is>
          <t>EV-CP-062</t>
        </is>
      </c>
      <c r="B74" s="65" t="inlineStr">
        <is>
          <t>CP-062</t>
        </is>
      </c>
      <c r="C74" s="65" t="inlineStr">
        <is>
          <t>HU-26</t>
        </is>
      </c>
      <c r="D74" s="65" t="inlineStr">
        <is>
          <t>Fila de informe</t>
        </is>
      </c>
      <c r="E74" s="65" t="inlineStr">
        <is>
          <t>Fila de test_ca2_agregar_una_o_mas_muestra_mensaje_y_asocia en el informe pytest-html</t>
        </is>
      </c>
      <c r="F74" s="65" t="inlineStr">
        <is>
          <t>pytest_hu26.html</t>
        </is>
      </c>
      <c r="G74" s="65" t="inlineStr">
        <is>
          <t>backend/qa/03_Evidencias/HU26/</t>
        </is>
      </c>
      <c r="H74" s="65" t="inlineStr">
        <is>
          <t>QA</t>
        </is>
      </c>
      <c r="I74" s="65" t="inlineStr">
        <is>
          <t>30/10/2026 09:14</t>
        </is>
      </c>
      <c r="J74" s="65" t="inlineStr">
        <is>
          <t>51</t>
        </is>
      </c>
      <c r="K74" s="65" t="inlineStr">
        <is>
          <t>14dccaff35b45cbd22917ef8c56a68b171231e5aa435e79f3cd1fce847edf66f</t>
        </is>
      </c>
      <c r="L74" s="65" t="inlineStr">
        <is>
          <t>c4fadff (qa-elliot)</t>
        </is>
      </c>
      <c r="M74" s="66" t="inlineStr">
        <is>
          <t>Adjuntada</t>
        </is>
      </c>
      <c r="N74" s="66" t="inlineStr">
        <is>
          <t>Aprobado</t>
        </is>
      </c>
      <c r="O74" s="65" t="n"/>
    </row>
    <row r="75" ht="51.9" customHeight="1" s="26">
      <c r="A75" s="65" t="inlineStr">
        <is>
          <t>EV-CP-063</t>
        </is>
      </c>
      <c r="B75" s="65" t="inlineStr">
        <is>
          <t>CP-063</t>
        </is>
      </c>
      <c r="C75" s="65" t="inlineStr">
        <is>
          <t>HU-26</t>
        </is>
      </c>
      <c r="D75" s="65" t="inlineStr">
        <is>
          <t>Fila de informe</t>
        </is>
      </c>
      <c r="E75" s="65" t="inlineStr">
        <is>
          <t>Fila de test_ca2_agregar_una_sola_ubicacion_por_lote_usa_el_mensaje_del_criterio en el informe pytest-html</t>
        </is>
      </c>
      <c r="F75" s="65" t="inlineStr">
        <is>
          <t>pytest_hu26.html</t>
        </is>
      </c>
      <c r="G75" s="65" t="inlineStr">
        <is>
          <t>backend/qa/03_Evidencias/HU26/</t>
        </is>
      </c>
      <c r="H75" s="65" t="inlineStr">
        <is>
          <t>QA</t>
        </is>
      </c>
      <c r="I75" s="65" t="inlineStr">
        <is>
          <t>30/10/2026 09:14</t>
        </is>
      </c>
      <c r="J75" s="65" t="inlineStr">
        <is>
          <t>51</t>
        </is>
      </c>
      <c r="K75" s="65" t="inlineStr">
        <is>
          <t>14dccaff35b45cbd22917ef8c56a68b171231e5aa435e79f3cd1fce847edf66f</t>
        </is>
      </c>
      <c r="L75" s="65" t="inlineStr">
        <is>
          <t>c4fadff (qa-elliot)</t>
        </is>
      </c>
      <c r="M75" s="66" t="inlineStr">
        <is>
          <t>Adjuntada</t>
        </is>
      </c>
      <c r="N75" s="66" t="inlineStr">
        <is>
          <t>Aprobado</t>
        </is>
      </c>
      <c r="O75" s="65" t="n"/>
    </row>
    <row r="76" ht="51.9" customHeight="1" s="26">
      <c r="A76" s="65" t="inlineStr">
        <is>
          <t>EV-CP-064</t>
        </is>
      </c>
      <c r="B76" s="65" t="inlineStr">
        <is>
          <t>CP-064</t>
        </is>
      </c>
      <c r="C76" s="65" t="inlineStr">
        <is>
          <t>HU-26</t>
        </is>
      </c>
      <c r="D76" s="65" t="inlineStr">
        <is>
          <t>Fila de informe</t>
        </is>
      </c>
      <c r="E76" s="65" t="inlineStr">
        <is>
          <t>Fila de test_ca2_no_permite_duplicar_ubicacion_en_el_mismo_panel en el informe pytest-html</t>
        </is>
      </c>
      <c r="F76" s="65" t="inlineStr">
        <is>
          <t>pytest_hu26.html</t>
        </is>
      </c>
      <c r="G76" s="65" t="inlineStr">
        <is>
          <t>backend/qa/03_Evidencias/HU26/</t>
        </is>
      </c>
      <c r="H76" s="65" t="inlineStr">
        <is>
          <t>QA</t>
        </is>
      </c>
      <c r="I76" s="65" t="inlineStr">
        <is>
          <t>30/10/2026 09:14</t>
        </is>
      </c>
      <c r="J76" s="65" t="inlineStr">
        <is>
          <t>51</t>
        </is>
      </c>
      <c r="K76" s="65" t="inlineStr">
        <is>
          <t>14dccaff35b45cbd22917ef8c56a68b171231e5aa435e79f3cd1fce847edf66f</t>
        </is>
      </c>
      <c r="L76" s="65" t="inlineStr">
        <is>
          <t>c4fadff (qa-elliot)</t>
        </is>
      </c>
      <c r="M76" s="66" t="inlineStr">
        <is>
          <t>Adjuntada</t>
        </is>
      </c>
      <c r="N76" s="66" t="inlineStr">
        <is>
          <t>Aprobado</t>
        </is>
      </c>
      <c r="O76" s="65" t="n"/>
    </row>
    <row r="77" ht="51.9" customHeight="1" s="26">
      <c r="A77" s="65" t="inlineStr">
        <is>
          <t>EV-CP-065</t>
        </is>
      </c>
      <c r="B77" s="65" t="inlineStr">
        <is>
          <t>CP-065</t>
        </is>
      </c>
      <c r="C77" s="65" t="inlineStr">
        <is>
          <t>HU-26</t>
        </is>
      </c>
      <c r="D77" s="65" t="inlineStr">
        <is>
          <t>Fila de informe</t>
        </is>
      </c>
      <c r="E77" s="65" t="inlineStr">
        <is>
          <t>Fila de test_ca2_duplicado_dentro_del_lote_se_rechaza_y_no_asocia_nada en el informe pytest-html</t>
        </is>
      </c>
      <c r="F77" s="65" t="inlineStr">
        <is>
          <t>pytest_hu26.html</t>
        </is>
      </c>
      <c r="G77" s="65" t="inlineStr">
        <is>
          <t>backend/qa/03_Evidencias/HU26/</t>
        </is>
      </c>
      <c r="H77" s="65" t="inlineStr">
        <is>
          <t>QA</t>
        </is>
      </c>
      <c r="I77" s="65" t="inlineStr">
        <is>
          <t>30/10/2026 09:14</t>
        </is>
      </c>
      <c r="J77" s="65" t="inlineStr">
        <is>
          <t>51</t>
        </is>
      </c>
      <c r="K77" s="65" t="inlineStr">
        <is>
          <t>14dccaff35b45cbd22917ef8c56a68b171231e5aa435e79f3cd1fce847edf66f</t>
        </is>
      </c>
      <c r="L77" s="65" t="inlineStr">
        <is>
          <t>c4fadff (qa-elliot)</t>
        </is>
      </c>
      <c r="M77" s="66" t="inlineStr">
        <is>
          <t>Adjuntada</t>
        </is>
      </c>
      <c r="N77" s="66" t="inlineStr">
        <is>
          <t>Aprobado</t>
        </is>
      </c>
      <c r="O77" s="65" t="n"/>
    </row>
    <row r="78" ht="51.9" customHeight="1" s="26">
      <c r="A78" s="65" t="inlineStr">
        <is>
          <t>EV-CP-066</t>
        </is>
      </c>
      <c r="B78" s="65" t="inlineStr">
        <is>
          <t>CP-066</t>
        </is>
      </c>
      <c r="C78" s="65" t="inlineStr">
        <is>
          <t>HU-26</t>
        </is>
      </c>
      <c r="D78" s="65" t="inlineStr">
        <is>
          <t>Fila de informe</t>
        </is>
      </c>
      <c r="E78" s="65" t="inlineStr">
        <is>
          <t>Fila de test_ca2_lote_con_una_ya_asociada_es_atomico en el informe pytest-html</t>
        </is>
      </c>
      <c r="F78" s="65" t="inlineStr">
        <is>
          <t>pytest_hu26.html</t>
        </is>
      </c>
      <c r="G78" s="65" t="inlineStr">
        <is>
          <t>backend/qa/03_Evidencias/HU26/</t>
        </is>
      </c>
      <c r="H78" s="65" t="inlineStr">
        <is>
          <t>QA</t>
        </is>
      </c>
      <c r="I78" s="65" t="inlineStr">
        <is>
          <t>30/10/2026 09:14</t>
        </is>
      </c>
      <c r="J78" s="65" t="inlineStr">
        <is>
          <t>51</t>
        </is>
      </c>
      <c r="K78" s="65" t="inlineStr">
        <is>
          <t>14dccaff35b45cbd22917ef8c56a68b171231e5aa435e79f3cd1fce847edf66f</t>
        </is>
      </c>
      <c r="L78" s="65" t="inlineStr">
        <is>
          <t>c4fadff (qa-elliot)</t>
        </is>
      </c>
      <c r="M78" s="66" t="inlineStr">
        <is>
          <t>Adjuntada</t>
        </is>
      </c>
      <c r="N78" s="66" t="inlineStr">
        <is>
          <t>Aprobado</t>
        </is>
      </c>
      <c r="O78" s="65" t="n"/>
    </row>
    <row r="79" ht="51.9" customHeight="1" s="26">
      <c r="A79" s="65" t="inlineStr">
        <is>
          <t>EV-CP-067</t>
        </is>
      </c>
      <c r="B79" s="65" t="inlineStr">
        <is>
          <t>CP-067</t>
        </is>
      </c>
      <c r="C79" s="65" t="inlineStr">
        <is>
          <t>HU-26</t>
        </is>
      </c>
      <c r="D79" s="65" t="inlineStr">
        <is>
          <t>Fila de informe</t>
        </is>
      </c>
      <c r="E79" s="65" t="inlineStr">
        <is>
          <t>Fila de test_ca2_misma_ubicacion_si_puede_estar_en_otro_panel en el informe pytest-html</t>
        </is>
      </c>
      <c r="F79" s="65" t="inlineStr">
        <is>
          <t>pytest_hu26.html</t>
        </is>
      </c>
      <c r="G79" s="65" t="inlineStr">
        <is>
          <t>backend/qa/03_Evidencias/HU26/</t>
        </is>
      </c>
      <c r="H79" s="65" t="inlineStr">
        <is>
          <t>QA</t>
        </is>
      </c>
      <c r="I79" s="65" t="inlineStr">
        <is>
          <t>30/10/2026 09:14</t>
        </is>
      </c>
      <c r="J79" s="65" t="inlineStr">
        <is>
          <t>51</t>
        </is>
      </c>
      <c r="K79" s="65" t="inlineStr">
        <is>
          <t>14dccaff35b45cbd22917ef8c56a68b171231e5aa435e79f3cd1fce847edf66f</t>
        </is>
      </c>
      <c r="L79" s="65" t="inlineStr">
        <is>
          <t>c4fadff (qa-elliot)</t>
        </is>
      </c>
      <c r="M79" s="66" t="inlineStr">
        <is>
          <t>Adjuntada</t>
        </is>
      </c>
      <c r="N79" s="66" t="inlineStr">
        <is>
          <t>Aprobado</t>
        </is>
      </c>
      <c r="O79" s="65" t="n"/>
    </row>
    <row r="80" ht="51.9" customHeight="1" s="26">
      <c r="A80" s="65" t="inlineStr">
        <is>
          <t>EV-CP-068</t>
        </is>
      </c>
      <c r="B80" s="65" t="inlineStr">
        <is>
          <t>CP-068</t>
        </is>
      </c>
      <c r="C80" s="65" t="inlineStr">
        <is>
          <t>HU-26</t>
        </is>
      </c>
      <c r="D80" s="65" t="inlineStr">
        <is>
          <t>Fila de informe</t>
        </is>
      </c>
      <c r="E80" s="65" t="inlineStr">
        <is>
          <t>Fila de test_err_ubicacion_no_asignada_no_se_puede_agregar en el informe pytest-html</t>
        </is>
      </c>
      <c r="F80" s="65" t="inlineStr">
        <is>
          <t>pytest_hu26.html</t>
        </is>
      </c>
      <c r="G80" s="65" t="inlineStr">
        <is>
          <t>backend/qa/03_Evidencias/HU26/</t>
        </is>
      </c>
      <c r="H80" s="65" t="inlineStr">
        <is>
          <t>QA</t>
        </is>
      </c>
      <c r="I80" s="65" t="inlineStr">
        <is>
          <t>30/10/2026 09:14</t>
        </is>
      </c>
      <c r="J80" s="65" t="inlineStr">
        <is>
          <t>51</t>
        </is>
      </c>
      <c r="K80" s="65" t="inlineStr">
        <is>
          <t>14dccaff35b45cbd22917ef8c56a68b171231e5aa435e79f3cd1fce847edf66f</t>
        </is>
      </c>
      <c r="L80" s="65" t="inlineStr">
        <is>
          <t>c4fadff (qa-elliot)</t>
        </is>
      </c>
      <c r="M80" s="66" t="inlineStr">
        <is>
          <t>Adjuntada</t>
        </is>
      </c>
      <c r="N80" s="66" t="inlineStr">
        <is>
          <t>Aprobado</t>
        </is>
      </c>
      <c r="O80" s="65" t="n"/>
    </row>
    <row r="81" ht="51.9" customHeight="1" s="26">
      <c r="A81" s="65" t="inlineStr">
        <is>
          <t>EV-CP-069</t>
        </is>
      </c>
      <c r="B81" s="65" t="inlineStr">
        <is>
          <t>CP-069</t>
        </is>
      </c>
      <c r="C81" s="65" t="inlineStr">
        <is>
          <t>HU-26</t>
        </is>
      </c>
      <c r="D81" s="65" t="inlineStr">
        <is>
          <t>Fila de informe</t>
        </is>
      </c>
      <c r="E81" s="65" t="inlineStr">
        <is>
          <t>Fila de test_err_lote_vacio_o_ids_invalidos en el informe pytest-html</t>
        </is>
      </c>
      <c r="F81" s="65" t="inlineStr">
        <is>
          <t>pytest_hu26.html</t>
        </is>
      </c>
      <c r="G81" s="65" t="inlineStr">
        <is>
          <t>backend/qa/03_Evidencias/HU26/</t>
        </is>
      </c>
      <c r="H81" s="65" t="inlineStr">
        <is>
          <t>QA</t>
        </is>
      </c>
      <c r="I81" s="65" t="inlineStr">
        <is>
          <t>30/10/2026 09:14</t>
        </is>
      </c>
      <c r="J81" s="65" t="inlineStr">
        <is>
          <t>51</t>
        </is>
      </c>
      <c r="K81" s="65" t="inlineStr">
        <is>
          <t>14dccaff35b45cbd22917ef8c56a68b171231e5aa435e79f3cd1fce847edf66f</t>
        </is>
      </c>
      <c r="L81" s="65" t="inlineStr">
        <is>
          <t>c4fadff (qa-elliot)</t>
        </is>
      </c>
      <c r="M81" s="66" t="inlineStr">
        <is>
          <t>Adjuntada</t>
        </is>
      </c>
      <c r="N81" s="66" t="inlineStr">
        <is>
          <t>Aprobado</t>
        </is>
      </c>
      <c r="O81" s="65" t="n"/>
    </row>
    <row r="82" ht="51.9" customHeight="1" s="26">
      <c r="A82" s="65" t="inlineStr">
        <is>
          <t>EV-CP-070</t>
        </is>
      </c>
      <c r="B82" s="65" t="inlineStr">
        <is>
          <t>CP-070</t>
        </is>
      </c>
      <c r="C82" s="65" t="inlineStr">
        <is>
          <t>HU-26</t>
        </is>
      </c>
      <c r="D82" s="65" t="inlineStr">
        <is>
          <t>Fila de informe</t>
        </is>
      </c>
      <c r="E82" s="65" t="inlineStr">
        <is>
          <t>Fila de test_err_panel_inexistente_o_ajeno en el informe pytest-html</t>
        </is>
      </c>
      <c r="F82" s="65" t="inlineStr">
        <is>
          <t>pytest_hu26.html</t>
        </is>
      </c>
      <c r="G82" s="65" t="inlineStr">
        <is>
          <t>backend/qa/03_Evidencias/HU26/</t>
        </is>
      </c>
      <c r="H82" s="65" t="inlineStr">
        <is>
          <t>QA</t>
        </is>
      </c>
      <c r="I82" s="65" t="inlineStr">
        <is>
          <t>30/10/2026 09:14</t>
        </is>
      </c>
      <c r="J82" s="65" t="inlineStr">
        <is>
          <t>51</t>
        </is>
      </c>
      <c r="K82" s="65" t="inlineStr">
        <is>
          <t>14dccaff35b45cbd22917ef8c56a68b171231e5aa435e79f3cd1fce847edf66f</t>
        </is>
      </c>
      <c r="L82" s="65" t="inlineStr">
        <is>
          <t>c4fadff (qa-elliot)</t>
        </is>
      </c>
      <c r="M82" s="66" t="inlineStr">
        <is>
          <t>Adjuntada</t>
        </is>
      </c>
      <c r="N82" s="66" t="inlineStr">
        <is>
          <t>Aprobado</t>
        </is>
      </c>
      <c r="O82" s="65" t="n"/>
    </row>
    <row r="83" ht="51.9" customHeight="1" s="26">
      <c r="A83" s="65" t="inlineStr">
        <is>
          <t>EV-CP-071</t>
        </is>
      </c>
      <c r="B83" s="65" t="inlineStr">
        <is>
          <t>CP-071</t>
        </is>
      </c>
      <c r="C83" s="65" t="inlineStr">
        <is>
          <t>HU-26</t>
        </is>
      </c>
      <c r="D83" s="65" t="inlineStr">
        <is>
          <t>Fila de informe</t>
        </is>
      </c>
      <c r="E83" s="65" t="inlineStr">
        <is>
          <t>Fila de test_err_sin_autenticacion_401 en el informe pytest-html</t>
        </is>
      </c>
      <c r="F83" s="65" t="inlineStr">
        <is>
          <t>pytest_hu26.html</t>
        </is>
      </c>
      <c r="G83" s="65" t="inlineStr">
        <is>
          <t>backend/qa/03_Evidencias/HU26/</t>
        </is>
      </c>
      <c r="H83" s="65" t="inlineStr">
        <is>
          <t>QA</t>
        </is>
      </c>
      <c r="I83" s="65" t="inlineStr">
        <is>
          <t>30/10/2026 09:14</t>
        </is>
      </c>
      <c r="J83" s="65" t="inlineStr">
        <is>
          <t>51</t>
        </is>
      </c>
      <c r="K83" s="65" t="inlineStr">
        <is>
          <t>14dccaff35b45cbd22917ef8c56a68b171231e5aa435e79f3cd1fce847edf66f</t>
        </is>
      </c>
      <c r="L83" s="65" t="inlineStr">
        <is>
          <t>c4fadff (qa-elliot)</t>
        </is>
      </c>
      <c r="M83" s="66" t="inlineStr">
        <is>
          <t>Adjuntada</t>
        </is>
      </c>
      <c r="N83" s="66" t="inlineStr">
        <is>
          <t>Aprobado</t>
        </is>
      </c>
      <c r="O83" s="65" t="n"/>
    </row>
    <row r="84" ht="51.9" customHeight="1" s="26">
      <c r="A84" s="65" t="inlineStr">
        <is>
          <t>EV-CP-072</t>
        </is>
      </c>
      <c r="B84" s="65" t="inlineStr">
        <is>
          <t>CP-072</t>
        </is>
      </c>
      <c r="C84" s="65" t="inlineStr">
        <is>
          <t>HU-26</t>
        </is>
      </c>
      <c r="D84" s="65" t="inlineStr">
        <is>
          <t>Fila de informe</t>
        </is>
      </c>
      <c r="E84" s="65" t="inlineStr">
        <is>
          <t>Fila de test_err_rol_solo_lectura_no_puede_agregar_ni_quitar en el informe pytest-html</t>
        </is>
      </c>
      <c r="F84" s="65" t="inlineStr">
        <is>
          <t>pytest_hu26.html</t>
        </is>
      </c>
      <c r="G84" s="65" t="inlineStr">
        <is>
          <t>backend/qa/03_Evidencias/HU26/</t>
        </is>
      </c>
      <c r="H84" s="65" t="inlineStr">
        <is>
          <t>QA</t>
        </is>
      </c>
      <c r="I84" s="65" t="inlineStr">
        <is>
          <t>30/10/2026 09:14</t>
        </is>
      </c>
      <c r="J84" s="65" t="inlineStr">
        <is>
          <t>51</t>
        </is>
      </c>
      <c r="K84" s="65" t="inlineStr">
        <is>
          <t>14dccaff35b45cbd22917ef8c56a68b171231e5aa435e79f3cd1fce847edf66f</t>
        </is>
      </c>
      <c r="L84" s="65" t="inlineStr">
        <is>
          <t>c4fadff (qa-elliot)</t>
        </is>
      </c>
      <c r="M84" s="66" t="inlineStr">
        <is>
          <t>Adjuntada</t>
        </is>
      </c>
      <c r="N84" s="66" t="inlineStr">
        <is>
          <t>Aprobado</t>
        </is>
      </c>
      <c r="O84" s="65" t="n"/>
    </row>
    <row r="85" ht="51.9" customHeight="1" s="26">
      <c r="A85" s="65" t="inlineStr">
        <is>
          <t>EV-CP-073</t>
        </is>
      </c>
      <c r="B85" s="65" t="inlineStr">
        <is>
          <t>CP-073</t>
        </is>
      </c>
      <c r="C85" s="65" t="inlineStr">
        <is>
          <t>HU-26</t>
        </is>
      </c>
      <c r="D85" s="65" t="inlineStr">
        <is>
          <t>Fila de informe</t>
        </is>
      </c>
      <c r="E85" s="65" t="inlineStr">
        <is>
          <t>Fila de test_ca3_ubicacion_anadida_muestra_nombre_y_ultimos_valores en el informe pytest-html</t>
        </is>
      </c>
      <c r="F85" s="65" t="inlineStr">
        <is>
          <t>pytest_hu26.html</t>
        </is>
      </c>
      <c r="G85" s="65" t="inlineStr">
        <is>
          <t>backend/qa/03_Evidencias/HU26/</t>
        </is>
      </c>
      <c r="H85" s="65" t="inlineStr">
        <is>
          <t>QA</t>
        </is>
      </c>
      <c r="I85" s="65" t="inlineStr">
        <is>
          <t>30/10/2026 09:14</t>
        </is>
      </c>
      <c r="J85" s="65" t="inlineStr">
        <is>
          <t>51</t>
        </is>
      </c>
      <c r="K85" s="65" t="inlineStr">
        <is>
          <t>14dccaff35b45cbd22917ef8c56a68b171231e5aa435e79f3cd1fce847edf66f</t>
        </is>
      </c>
      <c r="L85" s="65" t="inlineStr">
        <is>
          <t>c4fadff (qa-elliot)</t>
        </is>
      </c>
      <c r="M85" s="66" t="inlineStr">
        <is>
          <t>Adjuntada</t>
        </is>
      </c>
      <c r="N85" s="66" t="inlineStr">
        <is>
          <t>Aprobado</t>
        </is>
      </c>
      <c r="O85" s="65" t="n"/>
    </row>
    <row r="86" ht="51.9" customHeight="1" s="26">
      <c r="A86" s="65" t="inlineStr">
        <is>
          <t>EV-CP-074</t>
        </is>
      </c>
      <c r="B86" s="65" t="inlineStr">
        <is>
          <t>CP-074</t>
        </is>
      </c>
      <c r="C86" s="65" t="inlineStr">
        <is>
          <t>HU-26</t>
        </is>
      </c>
      <c r="D86" s="65" t="inlineStr">
        <is>
          <t>Fila de informe</t>
        </is>
      </c>
      <c r="E86" s="65" t="inlineStr">
        <is>
          <t>Fila de test_ca3_ubicacion_sin_telemetria_aparece_con_nombre_y_sin_valores en el informe pytest-html</t>
        </is>
      </c>
      <c r="F86" s="65" t="inlineStr">
        <is>
          <t>pytest_hu26.html</t>
        </is>
      </c>
      <c r="G86" s="65" t="inlineStr">
        <is>
          <t>backend/qa/03_Evidencias/HU26/</t>
        </is>
      </c>
      <c r="H86" s="65" t="inlineStr">
        <is>
          <t>QA</t>
        </is>
      </c>
      <c r="I86" s="65" t="inlineStr">
        <is>
          <t>30/10/2026 09:14</t>
        </is>
      </c>
      <c r="J86" s="65" t="inlineStr">
        <is>
          <t>51</t>
        </is>
      </c>
      <c r="K86" s="65" t="inlineStr">
        <is>
          <t>14dccaff35b45cbd22917ef8c56a68b171231e5aa435e79f3cd1fce847edf66f</t>
        </is>
      </c>
      <c r="L86" s="65" t="inlineStr">
        <is>
          <t>c4fadff (qa-elliot)</t>
        </is>
      </c>
      <c r="M86" s="66" t="inlineStr">
        <is>
          <t>Adjuntada</t>
        </is>
      </c>
      <c r="N86" s="66" t="inlineStr">
        <is>
          <t>Aprobado</t>
        </is>
      </c>
      <c r="O86" s="65" t="n"/>
    </row>
    <row r="87" ht="51.9" customHeight="1" s="26">
      <c r="A87" s="65" t="inlineStr">
        <is>
          <t>EV-CP-075</t>
        </is>
      </c>
      <c r="B87" s="65" t="inlineStr">
        <is>
          <t>CP-075</t>
        </is>
      </c>
      <c r="C87" s="65" t="inlineStr">
        <is>
          <t>HU-26</t>
        </is>
      </c>
      <c r="D87" s="65" t="inlineStr">
        <is>
          <t>Fila de informe</t>
        </is>
      </c>
      <c r="E87" s="65" t="inlineStr">
        <is>
          <t>Fila de test_ca4_quitar_retira_del_panel_y_muestra_mensaje en el informe pytest-html</t>
        </is>
      </c>
      <c r="F87" s="65" t="inlineStr">
        <is>
          <t>pytest_hu26.html</t>
        </is>
      </c>
      <c r="G87" s="65" t="inlineStr">
        <is>
          <t>backend/qa/03_Evidencias/HU26/</t>
        </is>
      </c>
      <c r="H87" s="65" t="inlineStr">
        <is>
          <t>QA</t>
        </is>
      </c>
      <c r="I87" s="65" t="inlineStr">
        <is>
          <t>30/10/2026 09:14</t>
        </is>
      </c>
      <c r="J87" s="65" t="inlineStr">
        <is>
          <t>51</t>
        </is>
      </c>
      <c r="K87" s="65" t="inlineStr">
        <is>
          <t>14dccaff35b45cbd22917ef8c56a68b171231e5aa435e79f3cd1fce847edf66f</t>
        </is>
      </c>
      <c r="L87" s="65" t="inlineStr">
        <is>
          <t>c4fadff (qa-elliot)</t>
        </is>
      </c>
      <c r="M87" s="66" t="inlineStr">
        <is>
          <t>Adjuntada</t>
        </is>
      </c>
      <c r="N87" s="66" t="inlineStr">
        <is>
          <t>Aprobado</t>
        </is>
      </c>
      <c r="O87" s="65" t="n"/>
    </row>
    <row r="88" ht="51.9" customHeight="1" s="26">
      <c r="A88" s="65" t="inlineStr">
        <is>
          <t>EV-CP-076</t>
        </is>
      </c>
      <c r="B88" s="65" t="inlineStr">
        <is>
          <t>CP-076</t>
        </is>
      </c>
      <c r="C88" s="65" t="inlineStr">
        <is>
          <t>HU-26</t>
        </is>
      </c>
      <c r="D88" s="65" t="inlineStr">
        <is>
          <t>Fila de informe</t>
        </is>
      </c>
      <c r="E88" s="65" t="inlineStr">
        <is>
          <t>Fila de test_ca4_quitar_no_elimina_telemetria_ni_registro_de_ubicacion en el informe pytest-html</t>
        </is>
      </c>
      <c r="F88" s="65" t="inlineStr">
        <is>
          <t>pytest_hu26.html</t>
        </is>
      </c>
      <c r="G88" s="65" t="inlineStr">
        <is>
          <t>backend/qa/03_Evidencias/HU26/</t>
        </is>
      </c>
      <c r="H88" s="65" t="inlineStr">
        <is>
          <t>QA</t>
        </is>
      </c>
      <c r="I88" s="65" t="inlineStr">
        <is>
          <t>30/10/2026 09:14</t>
        </is>
      </c>
      <c r="J88" s="65" t="inlineStr">
        <is>
          <t>51</t>
        </is>
      </c>
      <c r="K88" s="65" t="inlineStr">
        <is>
          <t>14dccaff35b45cbd22917ef8c56a68b171231e5aa435e79f3cd1fce847edf66f</t>
        </is>
      </c>
      <c r="L88" s="65" t="inlineStr">
        <is>
          <t>c4fadff (qa-elliot)</t>
        </is>
      </c>
      <c r="M88" s="66" t="inlineStr">
        <is>
          <t>Adjuntada</t>
        </is>
      </c>
      <c r="N88" s="66" t="inlineStr">
        <is>
          <t>Aprobado</t>
        </is>
      </c>
      <c r="O88" s="65" t="n"/>
    </row>
    <row r="89" ht="51.9" customHeight="1" s="26">
      <c r="A89" s="65" t="inlineStr">
        <is>
          <t>EV-CP-077</t>
        </is>
      </c>
      <c r="B89" s="65" t="inlineStr">
        <is>
          <t>CP-077</t>
        </is>
      </c>
      <c r="C89" s="65" t="inlineStr">
        <is>
          <t>HU-26</t>
        </is>
      </c>
      <c r="D89" s="65" t="inlineStr">
        <is>
          <t>Fila de informe</t>
        </is>
      </c>
      <c r="E89" s="65" t="inlineStr">
        <is>
          <t>Fila de test_ca4_quitar_ubicacion_que_no_esta_en_el_panel_404 en el informe pytest-html</t>
        </is>
      </c>
      <c r="F89" s="65" t="inlineStr">
        <is>
          <t>pytest_hu26.html</t>
        </is>
      </c>
      <c r="G89" s="65" t="inlineStr">
        <is>
          <t>backend/qa/03_Evidencias/HU26/</t>
        </is>
      </c>
      <c r="H89" s="65" t="inlineStr">
        <is>
          <t>QA</t>
        </is>
      </c>
      <c r="I89" s="65" t="inlineStr">
        <is>
          <t>30/10/2026 09:14</t>
        </is>
      </c>
      <c r="J89" s="65" t="inlineStr">
        <is>
          <t>51</t>
        </is>
      </c>
      <c r="K89" s="65" t="inlineStr">
        <is>
          <t>14dccaff35b45cbd22917ef8c56a68b171231e5aa435e79f3cd1fce847edf66f</t>
        </is>
      </c>
      <c r="L89" s="65" t="inlineStr">
        <is>
          <t>c4fadff (qa-elliot)</t>
        </is>
      </c>
      <c r="M89" s="66" t="inlineStr">
        <is>
          <t>Adjuntada</t>
        </is>
      </c>
      <c r="N89" s="66" t="inlineStr">
        <is>
          <t>Aprobado</t>
        </is>
      </c>
      <c r="O89" s="65" t="n"/>
    </row>
    <row r="90" ht="51.9" customHeight="1" s="26">
      <c r="A90" s="65" t="inlineStr">
        <is>
          <t>EV-CP-078</t>
        </is>
      </c>
      <c r="B90" s="65" t="inlineStr">
        <is>
          <t>CP-078</t>
        </is>
      </c>
      <c r="C90" s="65" t="inlineStr">
        <is>
          <t>HU-26</t>
        </is>
      </c>
      <c r="D90" s="65" t="inlineStr">
        <is>
          <t>Fila de informe</t>
        </is>
      </c>
      <c r="E90" s="65" t="inlineStr">
        <is>
          <t>Fila de test_ca4_quitar_dos_veces_la_segunda_da_404 en el informe pytest-html</t>
        </is>
      </c>
      <c r="F90" s="65" t="inlineStr">
        <is>
          <t>pytest_hu26.html</t>
        </is>
      </c>
      <c r="G90" s="65" t="inlineStr">
        <is>
          <t>backend/qa/03_Evidencias/HU26/</t>
        </is>
      </c>
      <c r="H90" s="65" t="inlineStr">
        <is>
          <t>QA</t>
        </is>
      </c>
      <c r="I90" s="65" t="inlineStr">
        <is>
          <t>30/10/2026 09:14</t>
        </is>
      </c>
      <c r="J90" s="65" t="inlineStr">
        <is>
          <t>51</t>
        </is>
      </c>
      <c r="K90" s="65" t="inlineStr">
        <is>
          <t>14dccaff35b45cbd22917ef8c56a68b171231e5aa435e79f3cd1fce847edf66f</t>
        </is>
      </c>
      <c r="L90" s="65" t="inlineStr">
        <is>
          <t>c4fadff (qa-elliot)</t>
        </is>
      </c>
      <c r="M90" s="66" t="inlineStr">
        <is>
          <t>Adjuntada</t>
        </is>
      </c>
      <c r="N90" s="66" t="inlineStr">
        <is>
          <t>Aprobado</t>
        </is>
      </c>
      <c r="O90" s="65" t="n"/>
    </row>
    <row r="91" ht="51.9" customHeight="1" s="26">
      <c r="A91" s="65" t="inlineStr">
        <is>
          <t>EV-CP-079</t>
        </is>
      </c>
      <c r="B91" s="65" t="inlineStr">
        <is>
          <t>CP-079</t>
        </is>
      </c>
      <c r="C91" s="65" t="inlineStr">
        <is>
          <t>HU-26</t>
        </is>
      </c>
      <c r="D91" s="65" t="inlineStr">
        <is>
          <t>Fila de informe</t>
        </is>
      </c>
      <c r="E91" s="65" t="inlineStr">
        <is>
          <t>Fila de test_ca4_quitar_en_un_panel_no_afecta_a_otro_panel en el informe pytest-html</t>
        </is>
      </c>
      <c r="F91" s="65" t="inlineStr">
        <is>
          <t>pytest_hu26.html</t>
        </is>
      </c>
      <c r="G91" s="65" t="inlineStr">
        <is>
          <t>backend/qa/03_Evidencias/HU26/</t>
        </is>
      </c>
      <c r="H91" s="65" t="inlineStr">
        <is>
          <t>QA</t>
        </is>
      </c>
      <c r="I91" s="65" t="inlineStr">
        <is>
          <t>30/10/2026 09:14</t>
        </is>
      </c>
      <c r="J91" s="65" t="inlineStr">
        <is>
          <t>51</t>
        </is>
      </c>
      <c r="K91" s="65" t="inlineStr">
        <is>
          <t>14dccaff35b45cbd22917ef8c56a68b171231e5aa435e79f3cd1fce847edf66f</t>
        </is>
      </c>
      <c r="L91" s="65" t="inlineStr">
        <is>
          <t>c4fadff (qa-elliot)</t>
        </is>
      </c>
      <c r="M91" s="66" t="inlineStr">
        <is>
          <t>Adjuntada</t>
        </is>
      </c>
      <c r="N91" s="66" t="inlineStr">
        <is>
          <t>Aprobado</t>
        </is>
      </c>
      <c r="O91" s="65" t="n"/>
    </row>
    <row r="92" ht="51.9" customHeight="1" s="26">
      <c r="A92" s="65" t="inlineStr">
        <is>
          <t>EV-CP-080</t>
        </is>
      </c>
      <c r="B92" s="65" t="inlineStr">
        <is>
          <t>CP-080</t>
        </is>
      </c>
      <c r="C92" s="65" t="inlineStr">
        <is>
          <t>HU-26</t>
        </is>
      </c>
      <c r="D92" s="65" t="inlineStr">
        <is>
          <t>Fila de informe</t>
        </is>
      </c>
      <c r="E92" s="65" t="inlineStr">
        <is>
          <t>Fila de test_ca4_ubicacion_quitada_vuelve_a_poder_agregarse en el informe pytest-html</t>
        </is>
      </c>
      <c r="F92" s="65" t="inlineStr">
        <is>
          <t>pytest_hu26.html</t>
        </is>
      </c>
      <c r="G92" s="65" t="inlineStr">
        <is>
          <t>backend/qa/03_Evidencias/HU26/</t>
        </is>
      </c>
      <c r="H92" s="65" t="inlineStr">
        <is>
          <t>QA</t>
        </is>
      </c>
      <c r="I92" s="65" t="inlineStr">
        <is>
          <t>30/10/2026 09:14</t>
        </is>
      </c>
      <c r="J92" s="65" t="inlineStr">
        <is>
          <t>51</t>
        </is>
      </c>
      <c r="K92" s="65" t="inlineStr">
        <is>
          <t>14dccaff35b45cbd22917ef8c56a68b171231e5aa435e79f3cd1fce847edf66f</t>
        </is>
      </c>
      <c r="L92" s="65" t="inlineStr">
        <is>
          <t>c4fadff (qa-elliot)</t>
        </is>
      </c>
      <c r="M92" s="66" t="inlineStr">
        <is>
          <t>Adjuntada</t>
        </is>
      </c>
      <c r="N92" s="66" t="inlineStr">
        <is>
          <t>Aprobado</t>
        </is>
      </c>
      <c r="O92" s="65" t="n"/>
    </row>
    <row r="93" ht="51.9" customHeight="1" s="26">
      <c r="A93" s="65" t="inlineStr">
        <is>
          <t>EV-CP-081</t>
        </is>
      </c>
      <c r="B93" s="65" t="inlineStr">
        <is>
          <t>CP-081</t>
        </is>
      </c>
      <c r="C93" s="65" t="inlineStr">
        <is>
          <t>HU-26</t>
        </is>
      </c>
      <c r="D93" s="65" t="inlineStr">
        <is>
          <t>Fila de informe</t>
        </is>
      </c>
      <c r="E93" s="65" t="inlineStr">
        <is>
          <t>Fila de test_obs_quitar_ubicacion_borra_sus_widgets en el informe pytest-html</t>
        </is>
      </c>
      <c r="F93" s="65" t="inlineStr">
        <is>
          <t>pytest_hu26.html</t>
        </is>
      </c>
      <c r="G93" s="65" t="inlineStr">
        <is>
          <t>backend/qa/03_Evidencias/HU26/</t>
        </is>
      </c>
      <c r="H93" s="65" t="inlineStr">
        <is>
          <t>QA</t>
        </is>
      </c>
      <c r="I93" s="65" t="inlineStr">
        <is>
          <t>30/10/2026 09:14</t>
        </is>
      </c>
      <c r="J93" s="65" t="inlineStr">
        <is>
          <t>51</t>
        </is>
      </c>
      <c r="K93" s="65" t="inlineStr">
        <is>
          <t>14dccaff35b45cbd22917ef8c56a68b171231e5aa435e79f3cd1fce847edf66f</t>
        </is>
      </c>
      <c r="L93" s="65" t="inlineStr">
        <is>
          <t>c4fadff (qa-elliot)</t>
        </is>
      </c>
      <c r="M93" s="66" t="inlineStr">
        <is>
          <t>Adjuntada</t>
        </is>
      </c>
      <c r="N93" s="66" t="inlineStr">
        <is>
          <t>Aprobado</t>
        </is>
      </c>
      <c r="O93" s="65" t="n"/>
    </row>
    <row r="94" ht="51.9" customHeight="1" s="26">
      <c r="A94" s="65" t="inlineStr">
        <is>
          <t>EV-CP-082</t>
        </is>
      </c>
      <c r="B94" s="65" t="inlineStr">
        <is>
          <t>CP-082</t>
        </is>
      </c>
      <c r="C94" s="65" t="inlineStr">
        <is>
          <t>HU-26</t>
        </is>
      </c>
      <c r="D94" s="65" t="inlineStr">
        <is>
          <t>Fila de informe</t>
        </is>
      </c>
      <c r="E94" s="65" t="inlineStr">
        <is>
          <t>Fila del recorrido «CP-E2E-01 panel nuevo sin ubicaciones ofrece «Añadir ubicaciones»» en el informe de Playwright</t>
        </is>
      </c>
      <c r="F94" s="65" t="inlineStr">
        <is>
          <t>playwright/index.html</t>
        </is>
      </c>
      <c r="G94" s="65" t="inlineStr">
        <is>
          <t>backend/qa/03_Evidencias/HU26/</t>
        </is>
      </c>
      <c r="H94" s="65" t="inlineStr">
        <is>
          <t>QA</t>
        </is>
      </c>
      <c r="I94" s="65" t="inlineStr">
        <is>
          <t>30/10/2026 09:14</t>
        </is>
      </c>
      <c r="J94" s="65" t="inlineStr">
        <is>
          <t>513</t>
        </is>
      </c>
      <c r="K94" s="65" t="inlineStr">
        <is>
          <t>c76fba8f5f985096089e51d0c4be8d5b6f2c3d5f4dcbf88ea6710e010fbd2a5e</t>
        </is>
      </c>
      <c r="L94" s="65" t="inlineStr">
        <is>
          <t>c4fadff (qa-elliot)</t>
        </is>
      </c>
      <c r="M94" s="66" t="inlineStr">
        <is>
          <t>Adjuntada</t>
        </is>
      </c>
      <c r="N94" s="66" t="inlineStr">
        <is>
          <t>Aprobado</t>
        </is>
      </c>
      <c r="O94" s="65" t="n"/>
    </row>
    <row r="95" ht="51.9" customHeight="1" s="26">
      <c r="A95" s="65" t="inlineStr">
        <is>
          <t>EV-CP-083</t>
        </is>
      </c>
      <c r="B95" s="65" t="inlineStr">
        <is>
          <t>CP-083</t>
        </is>
      </c>
      <c r="C95" s="65" t="inlineStr">
        <is>
          <t>HU-26</t>
        </is>
      </c>
      <c r="D95" s="65" t="inlineStr">
        <is>
          <t>Captura</t>
        </is>
      </c>
      <c r="E95" s="65" t="inlineStr">
        <is>
          <t>Pantalla del flujo: El drawer lista las 2 asignadas y no la no asignada</t>
        </is>
      </c>
      <c r="F95" s="65" t="inlineStr">
        <is>
          <t>EV-HU26-E2E-01_selector-ubicaciones.png</t>
        </is>
      </c>
      <c r="G95" s="65" t="inlineStr">
        <is>
          <t>backend/qa/03_Evidencias/HU26/</t>
        </is>
      </c>
      <c r="H95" s="65" t="inlineStr">
        <is>
          <t>QA</t>
        </is>
      </c>
      <c r="I95" s="65" t="inlineStr">
        <is>
          <t>30/10/2026 09:14</t>
        </is>
      </c>
      <c r="J95" s="65" t="inlineStr">
        <is>
          <t>209</t>
        </is>
      </c>
      <c r="K95" s="65" t="inlineStr">
        <is>
          <t>a686e03e1db67d20c163f1b90df00635a53b546455344074e5c420fd87878e9d</t>
        </is>
      </c>
      <c r="L95" s="65" t="inlineStr">
        <is>
          <t>c4fadff (qa-elliot)</t>
        </is>
      </c>
      <c r="M95" s="66" t="inlineStr">
        <is>
          <t>Adjuntada</t>
        </is>
      </c>
      <c r="N95" s="66" t="inlineStr">
        <is>
          <t>Aprobado</t>
        </is>
      </c>
      <c r="O95" s="65" t="n"/>
    </row>
    <row r="96" ht="51.9" customHeight="1" s="26">
      <c r="A96" s="65" t="inlineStr">
        <is>
          <t>EV-CP-084</t>
        </is>
      </c>
      <c r="B96" s="65" t="inlineStr">
        <is>
          <t>CP-084</t>
        </is>
      </c>
      <c r="C96" s="65" t="inlineStr">
        <is>
          <t>HU-26</t>
        </is>
      </c>
      <c r="D96" s="65" t="inlineStr">
        <is>
          <t>Fila de informe</t>
        </is>
      </c>
      <c r="E96" s="65" t="inlineStr">
        <is>
          <t>Fila del recorrido «CA2 sin selección el botón AGREGAR AL PANEL está deshabilitado» en el informe de Playwright</t>
        </is>
      </c>
      <c r="F96" s="65" t="inlineStr">
        <is>
          <t>playwright/index.html</t>
        </is>
      </c>
      <c r="G96" s="65" t="inlineStr">
        <is>
          <t>backend/qa/03_Evidencias/HU26/</t>
        </is>
      </c>
      <c r="H96" s="65" t="inlineStr">
        <is>
          <t>QA</t>
        </is>
      </c>
      <c r="I96" s="65" t="inlineStr">
        <is>
          <t>30/10/2026 09:14</t>
        </is>
      </c>
      <c r="J96" s="65" t="inlineStr">
        <is>
          <t>513</t>
        </is>
      </c>
      <c r="K96" s="65" t="inlineStr">
        <is>
          <t>c76fba8f5f985096089e51d0c4be8d5b6f2c3d5f4dcbf88ea6710e010fbd2a5e</t>
        </is>
      </c>
      <c r="L96" s="65" t="inlineStr">
        <is>
          <t>c4fadff (qa-elliot)</t>
        </is>
      </c>
      <c r="M96" s="66" t="inlineStr">
        <is>
          <t>Adjuntada</t>
        </is>
      </c>
      <c r="N96" s="66" t="inlineStr">
        <is>
          <t>Aprobado</t>
        </is>
      </c>
      <c r="O96" s="65" t="n"/>
    </row>
    <row r="97" ht="51.9" customHeight="1" s="26">
      <c r="A97" s="65" t="inlineStr">
        <is>
          <t>EV-CP-085</t>
        </is>
      </c>
      <c r="B97" s="65" t="inlineStr">
        <is>
          <t>CP-085</t>
        </is>
      </c>
      <c r="C97" s="65" t="inlineStr">
        <is>
          <t>HU-26</t>
        </is>
      </c>
      <c r="D97" s="65" t="inlineStr">
        <is>
          <t>Captura</t>
        </is>
      </c>
      <c r="E97" s="65" t="inlineStr">
        <is>
          <t>Pantalla del flujo: Mensaje «Ubicaciones añadidas correctamente» y tarjeta con nombre, última lectura y valore</t>
        </is>
      </c>
      <c r="F97" s="65" t="inlineStr">
        <is>
          <t>EV-HU26-E2E-02_ubicacion-anadida-con-valores.png</t>
        </is>
      </c>
      <c r="G97" s="65" t="inlineStr">
        <is>
          <t>backend/qa/03_Evidencias/HU26/</t>
        </is>
      </c>
      <c r="H97" s="65" t="inlineStr">
        <is>
          <t>QA</t>
        </is>
      </c>
      <c r="I97" s="65" t="inlineStr">
        <is>
          <t>30/10/2026 09:14</t>
        </is>
      </c>
      <c r="J97" s="65" t="inlineStr">
        <is>
          <t>362</t>
        </is>
      </c>
      <c r="K97" s="65" t="inlineStr">
        <is>
          <t>1a961e977d9d2b37b9dc3c4647f6ef11ceadb8a31e0cf45f4806ae4540644fd8</t>
        </is>
      </c>
      <c r="L97" s="65" t="inlineStr">
        <is>
          <t>c4fadff (qa-elliot)</t>
        </is>
      </c>
      <c r="M97" s="66" t="inlineStr">
        <is>
          <t>Adjuntada</t>
        </is>
      </c>
      <c r="N97" s="66" t="inlineStr">
        <is>
          <t>Aprobado</t>
        </is>
      </c>
      <c r="O97" s="65" t="n"/>
    </row>
    <row r="98" ht="51.9" customHeight="1" s="26">
      <c r="A98" s="65" t="inlineStr">
        <is>
          <t>EV-CP-086</t>
        </is>
      </c>
      <c r="B98" s="65" t="inlineStr">
        <is>
          <t>CP-086</t>
        </is>
      </c>
      <c r="C98" s="65" t="inlineStr">
        <is>
          <t>HU-26</t>
        </is>
      </c>
      <c r="D98" s="65" t="inlineStr">
        <is>
          <t>Captura</t>
        </is>
      </c>
      <c r="E98" s="65" t="inlineStr">
        <is>
          <t>Pantalla del flujo: La ya añadida no vuelve a ofrecerse; al añadir ambas: «No hay más ubicaciones disponibles.</t>
        </is>
      </c>
      <c r="F98" s="65" t="inlineStr">
        <is>
          <t>EV-HU26-E2E-03_sin-mas-ubicaciones.png</t>
        </is>
      </c>
      <c r="G98" s="65" t="inlineStr">
        <is>
          <t>backend/qa/03_Evidencias/HU26/</t>
        </is>
      </c>
      <c r="H98" s="65" t="inlineStr">
        <is>
          <t>QA</t>
        </is>
      </c>
      <c r="I98" s="65" t="inlineStr">
        <is>
          <t>30/10/2026 09:14</t>
        </is>
      </c>
      <c r="J98" s="65" t="inlineStr">
        <is>
          <t>229</t>
        </is>
      </c>
      <c r="K98" s="65" t="inlineStr">
        <is>
          <t>61020930b4cb8afbe62a8f5e22ac0f3da523e0b0cb66a33e7b7881bef6e561f4</t>
        </is>
      </c>
      <c r="L98" s="65" t="inlineStr">
        <is>
          <t>c4fadff (qa-elliot)</t>
        </is>
      </c>
      <c r="M98" s="66" t="inlineStr">
        <is>
          <t>Adjuntada</t>
        </is>
      </c>
      <c r="N98" s="66" t="inlineStr">
        <is>
          <t>Aprobado</t>
        </is>
      </c>
      <c r="O98" s="65" t="n"/>
    </row>
    <row r="99" ht="51.9" customHeight="1" s="26">
      <c r="A99" s="65" t="inlineStr">
        <is>
          <t>EV-CP-087</t>
        </is>
      </c>
      <c r="B99" s="65" t="inlineStr">
        <is>
          <t>CP-087</t>
        </is>
      </c>
      <c r="C99" s="65" t="inlineStr">
        <is>
          <t>HU-26</t>
        </is>
      </c>
      <c r="D99" s="65" t="inlineStr">
        <is>
          <t>Captura</t>
        </is>
      </c>
      <c r="E99" s="65" t="inlineStr">
        <is>
          <t>Pantalla del flujo: Modal con aviso de telemetría conservada; Cancelar no retira</t>
        </is>
      </c>
      <c r="F99" s="65" t="inlineStr">
        <is>
          <t>EV-HU26-E2E-04_modal-quitar.png</t>
        </is>
      </c>
      <c r="G99" s="65" t="inlineStr">
        <is>
          <t>backend/qa/03_Evidencias/HU26/</t>
        </is>
      </c>
      <c r="H99" s="65" t="inlineStr">
        <is>
          <t>QA</t>
        </is>
      </c>
      <c r="I99" s="65" t="inlineStr">
        <is>
          <t>30/10/2026 09:14</t>
        </is>
      </c>
      <c r="J99" s="65" t="inlineStr">
        <is>
          <t>248</t>
        </is>
      </c>
      <c r="K99" s="65" t="inlineStr">
        <is>
          <t>e360fa2be34038db4d39bf6c8fbbe00e4f41849badad644ef9ba0b9b29e327bf</t>
        </is>
      </c>
      <c r="L99" s="65" t="inlineStr">
        <is>
          <t>c4fadff (qa-elliot)</t>
        </is>
      </c>
      <c r="M99" s="66" t="inlineStr">
        <is>
          <t>Adjuntada</t>
        </is>
      </c>
      <c r="N99" s="66" t="inlineStr">
        <is>
          <t>Aprobado</t>
        </is>
      </c>
      <c r="O99" s="65" t="n"/>
    </row>
    <row r="100" ht="51.9" customHeight="1" s="26">
      <c r="A100" s="65" t="inlineStr">
        <is>
          <t>EV-CP-088</t>
        </is>
      </c>
      <c r="B100" s="65" t="inlineStr">
        <is>
          <t>CP-088</t>
        </is>
      </c>
      <c r="C100" s="65" t="inlineStr">
        <is>
          <t>HU-26</t>
        </is>
      </c>
      <c r="D100" s="65" t="inlineStr">
        <is>
          <t>Captura</t>
        </is>
      </c>
      <c r="E100" s="65" t="inlineStr">
        <is>
          <t>Pantalla del flujo: MSG «Ubicación retirada del panel»; desaparece la tarjeta; al re-añadir recupera sus valor</t>
        </is>
      </c>
      <c r="F100" s="65" t="inlineStr">
        <is>
          <t>EV-HU26-E2E-05_ubicacion-retirada.png</t>
        </is>
      </c>
      <c r="G100" s="65" t="inlineStr">
        <is>
          <t>backend/qa/03_Evidencias/HU26/</t>
        </is>
      </c>
      <c r="H100" s="65" t="inlineStr">
        <is>
          <t>QA</t>
        </is>
      </c>
      <c r="I100" s="65" t="inlineStr">
        <is>
          <t>30/10/2026 09:14</t>
        </is>
      </c>
      <c r="J100" s="65" t="inlineStr">
        <is>
          <t>359</t>
        </is>
      </c>
      <c r="K100" s="65" t="inlineStr">
        <is>
          <t>3dce4b2798d53b337247721fddf8e010f0122acf4eb5f4642399bba85c80699c</t>
        </is>
      </c>
      <c r="L100" s="65" t="inlineStr">
        <is>
          <t>c4fadff (qa-elliot)</t>
        </is>
      </c>
      <c r="M100" s="66" t="inlineStr">
        <is>
          <t>Adjuntada</t>
        </is>
      </c>
      <c r="N100" s="66" t="inlineStr">
        <is>
          <t>Aprobado</t>
        </is>
      </c>
      <c r="O100" s="65" t="n"/>
    </row>
    <row r="101" ht="51.9" customHeight="1" s="26">
      <c r="A101" s="65" t="inlineStr">
        <is>
          <t>EV-CP-089</t>
        </is>
      </c>
      <c r="B101" s="65" t="inlineStr">
        <is>
          <t>CP-089</t>
        </is>
      </c>
      <c r="C101" s="65" t="inlineStr">
        <is>
          <t>HU-26</t>
        </is>
      </c>
      <c r="D101" s="65" t="inlineStr">
        <is>
          <t>Fila de informe</t>
        </is>
      </c>
      <c r="E101" s="65" t="inlineStr">
        <is>
          <t>Fila del recorrido «persistencia: al recargar el panel conserva las ubicaciones» en el informe de Playwright</t>
        </is>
      </c>
      <c r="F101" s="65" t="inlineStr">
        <is>
          <t>playwright/index.html</t>
        </is>
      </c>
      <c r="G101" s="65" t="inlineStr">
        <is>
          <t>backend/qa/03_Evidencias/HU26/</t>
        </is>
      </c>
      <c r="H101" s="65" t="inlineStr">
        <is>
          <t>QA</t>
        </is>
      </c>
      <c r="I101" s="65" t="inlineStr">
        <is>
          <t>30/10/2026 09:14</t>
        </is>
      </c>
      <c r="J101" s="65" t="inlineStr">
        <is>
          <t>513</t>
        </is>
      </c>
      <c r="K101" s="65" t="inlineStr">
        <is>
          <t>c76fba8f5f985096089e51d0c4be8d5b6f2c3d5f4dcbf88ea6710e010fbd2a5e</t>
        </is>
      </c>
      <c r="L101" s="65" t="inlineStr">
        <is>
          <t>c4fadff (qa-elliot)</t>
        </is>
      </c>
      <c r="M101" s="66" t="inlineStr">
        <is>
          <t>Adjuntada</t>
        </is>
      </c>
      <c r="N101" s="66" t="inlineStr">
        <is>
          <t>Aprobado</t>
        </is>
      </c>
      <c r="O101" s="65" t="n"/>
    </row>
    <row r="102" ht="51.9" customHeight="1" s="26">
      <c r="A102" s="65" t="inlineStr">
        <is>
          <t>EV-HU26-INF-01</t>
        </is>
      </c>
      <c r="B102" s="65" t="inlineStr">
        <is>
          <t>EV-HU26-INF-04</t>
        </is>
      </c>
      <c r="C102" s="65" t="inlineStr">
        <is>
          <t>HU-26</t>
        </is>
      </c>
      <c r="D102" s="65" t="inlineStr">
        <is>
          <t>Informe HTML</t>
        </is>
      </c>
      <c r="E102" s="65" t="inlineStr">
        <is>
          <t>Informe completo de pytest de HU-26: 23 aprobadas y 1 xfail</t>
        </is>
      </c>
      <c r="F102" s="65" t="inlineStr">
        <is>
          <t>pytest_hu26.html</t>
        </is>
      </c>
      <c r="G102" s="65" t="inlineStr">
        <is>
          <t>backend/qa/03_Evidencias/HU26/</t>
        </is>
      </c>
      <c r="H102" s="65" t="inlineStr">
        <is>
          <t>QA</t>
        </is>
      </c>
      <c r="I102" s="65" t="inlineStr">
        <is>
          <t>30/10/2026 09:14</t>
        </is>
      </c>
      <c r="J102" s="65" t="inlineStr">
        <is>
          <t>51</t>
        </is>
      </c>
      <c r="K102" s="65" t="inlineStr">
        <is>
          <t>14dccaff35b45cbd22917ef8c56a68b171231e5aa435e79f3cd1fce847edf66f</t>
        </is>
      </c>
      <c r="L102" s="65" t="inlineStr">
        <is>
          <t>c4fadff (qa-elliot)</t>
        </is>
      </c>
      <c r="M102" s="66" t="inlineStr">
        <is>
          <t>Adjuntada</t>
        </is>
      </c>
      <c r="N102" s="66" t="inlineStr">
        <is>
          <t>Informativo</t>
        </is>
      </c>
      <c r="O102" s="65" t="n"/>
    </row>
    <row r="103" ht="51.9" customHeight="1" s="26">
      <c r="A103" s="65" t="inlineStr">
        <is>
          <t>EV-HU26-INF-02</t>
        </is>
      </c>
      <c r="B103" s="65" t="inlineStr">
        <is>
          <t>EV-HU26-INF-04</t>
        </is>
      </c>
      <c r="C103" s="65" t="inlineStr">
        <is>
          <t>HU-26</t>
        </is>
      </c>
      <c r="D103" s="65" t="inlineStr">
        <is>
          <t>Informe HTML</t>
        </is>
      </c>
      <c r="E103" s="65" t="inlineStr">
        <is>
          <t>Informe de regresión: 165 aprobadas (PLAN_LIMITS_REQUIRE_SUBSCRIPTION=false)</t>
        </is>
      </c>
      <c r="F103" s="65" t="inlineStr">
        <is>
          <t>pytest_regresion.html</t>
        </is>
      </c>
      <c r="G103" s="65" t="inlineStr">
        <is>
          <t>backend/qa/03_Evidencias/HU26/</t>
        </is>
      </c>
      <c r="H103" s="65" t="inlineStr">
        <is>
          <t>QA</t>
        </is>
      </c>
      <c r="I103" s="65" t="inlineStr">
        <is>
          <t>30/10/2026 09:14</t>
        </is>
      </c>
      <c r="J103" s="65" t="inlineStr">
        <is>
          <t>160</t>
        </is>
      </c>
      <c r="K103" s="65" t="inlineStr">
        <is>
          <t>cb87883b83230391ea46493b11ad1053bb8fa2bce49a62a294cb619cce2828f7</t>
        </is>
      </c>
      <c r="L103" s="65" t="inlineStr">
        <is>
          <t>c4fadff (qa-elliot)</t>
        </is>
      </c>
      <c r="M103" s="66" t="inlineStr">
        <is>
          <t>Adjuntada</t>
        </is>
      </c>
      <c r="N103" s="66" t="inlineStr">
        <is>
          <t>Informativo</t>
        </is>
      </c>
      <c r="O103" s="65" t="n"/>
    </row>
    <row r="104" ht="51.9" customHeight="1" s="26">
      <c r="A104" s="65" t="inlineStr">
        <is>
          <t>EV-HU26-INF-03</t>
        </is>
      </c>
      <c r="B104" s="65" t="inlineStr">
        <is>
          <t>EV-HU26-INF-05</t>
        </is>
      </c>
      <c r="C104" s="65" t="inlineStr">
        <is>
          <t>HU-26</t>
        </is>
      </c>
      <c r="D104" s="65" t="inlineStr">
        <is>
          <t>Informe HTML</t>
        </is>
      </c>
      <c r="E104" s="65" t="inlineStr">
        <is>
          <t>Informe de Playwright de HU-26: 8 aprobadas</t>
        </is>
      </c>
      <c r="F104" s="65" t="inlineStr">
        <is>
          <t>playwright/index.html</t>
        </is>
      </c>
      <c r="G104" s="65" t="inlineStr">
        <is>
          <t>backend/qa/03_Evidencias/HU26/</t>
        </is>
      </c>
      <c r="H104" s="65" t="inlineStr">
        <is>
          <t>QA</t>
        </is>
      </c>
      <c r="I104" s="65" t="inlineStr">
        <is>
          <t>30/10/2026 09:14</t>
        </is>
      </c>
      <c r="J104" s="65" t="inlineStr">
        <is>
          <t>513</t>
        </is>
      </c>
      <c r="K104" s="65" t="inlineStr">
        <is>
          <t>c76fba8f5f985096089e51d0c4be8d5b6f2c3d5f4dcbf88ea6710e010fbd2a5e</t>
        </is>
      </c>
      <c r="L104" s="65" t="inlineStr">
        <is>
          <t>c4fadff (qa-elliot)</t>
        </is>
      </c>
      <c r="M104" s="66" t="inlineStr">
        <is>
          <t>Adjuntada</t>
        </is>
      </c>
      <c r="N104" s="66" t="inlineStr">
        <is>
          <t>Informativo</t>
        </is>
      </c>
      <c r="O104" s="65" t="n"/>
    </row>
    <row r="105" ht="51.9" customHeight="1" s="26">
      <c r="A105" s="65" t="inlineStr">
        <is>
          <t>EV-HU26-INF-04</t>
        </is>
      </c>
      <c r="B105" s="65" t="inlineStr">
        <is>
          <t>EV-HU26-INF-01</t>
        </is>
      </c>
      <c r="C105" s="65" t="inlineStr">
        <is>
          <t>HU-26</t>
        </is>
      </c>
      <c r="D105" s="65" t="inlineStr">
        <is>
          <t>Captura</t>
        </is>
      </c>
      <c r="E105" s="65" t="inlineStr">
        <is>
          <t>Captura del informe pytest de HU-26 (extracto: primeras 10 de 24 filas)</t>
        </is>
      </c>
      <c r="F105" s="65" t="inlineStr">
        <is>
          <t>EV-HU26-INF-04_captura-informe-pytest.png</t>
        </is>
      </c>
      <c r="G105" s="65" t="inlineStr">
        <is>
          <t>backend/qa/03_Evidencias/HU26/</t>
        </is>
      </c>
      <c r="H105" s="65" t="inlineStr">
        <is>
          <t>QA</t>
        </is>
      </c>
      <c r="I105" s="65" t="inlineStr">
        <is>
          <t>30/10/2026 09:14</t>
        </is>
      </c>
      <c r="J105" s="65" t="inlineStr">
        <is>
          <t>185</t>
        </is>
      </c>
      <c r="K105" s="65" t="inlineStr">
        <is>
          <t>0785d5859735ddc5aa7d50611deed5603f66a416a9c8949d569b3e093a57cf8e</t>
        </is>
      </c>
      <c r="L105" s="65" t="inlineStr">
        <is>
          <t>c4fadff (qa-elliot)</t>
        </is>
      </c>
      <c r="M105" s="66" t="inlineStr">
        <is>
          <t>Adjuntada</t>
        </is>
      </c>
      <c r="N105" s="66" t="inlineStr">
        <is>
          <t>Informativo</t>
        </is>
      </c>
      <c r="O105" s="65" t="n"/>
    </row>
    <row r="106" ht="51.9" customHeight="1" s="26">
      <c r="A106" s="65" t="inlineStr">
        <is>
          <t>EV-HU26-INF-05</t>
        </is>
      </c>
      <c r="B106" s="65" t="inlineStr">
        <is>
          <t>EV-HU26-INF-03</t>
        </is>
      </c>
      <c r="C106" s="65" t="inlineStr">
        <is>
          <t>HU-26</t>
        </is>
      </c>
      <c r="D106" s="65" t="inlineStr">
        <is>
          <t>Captura</t>
        </is>
      </c>
      <c r="E106" s="65" t="inlineStr">
        <is>
          <t>Captura del informe de Playwright (8 pruebas)</t>
        </is>
      </c>
      <c r="F106" s="65" t="inlineStr">
        <is>
          <t>EV-HU26-INF-05_captura-informe-playwright.png</t>
        </is>
      </c>
      <c r="G106" s="65" t="inlineStr">
        <is>
          <t>backend/qa/03_Evidencias/HU26/</t>
        </is>
      </c>
      <c r="H106" s="65" t="inlineStr">
        <is>
          <t>QA</t>
        </is>
      </c>
      <c r="I106" s="65" t="inlineStr">
        <is>
          <t>30/10/2026 09:14</t>
        </is>
      </c>
      <c r="J106" s="65" t="inlineStr">
        <is>
          <t>207</t>
        </is>
      </c>
      <c r="K106" s="65" t="inlineStr">
        <is>
          <t>fbf094d4ee1ee7f5ea8ec775aa5419c9bbdb5791e9c707b14189fbf79b6e795d</t>
        </is>
      </c>
      <c r="L106" s="65" t="inlineStr">
        <is>
          <t>c4fadff (qa-elliot)</t>
        </is>
      </c>
      <c r="M106" s="66" t="inlineStr">
        <is>
          <t>Adjuntada</t>
        </is>
      </c>
      <c r="N106" s="66" t="inlineStr">
        <is>
          <t>Informativo</t>
        </is>
      </c>
      <c r="O106" s="65" t="n"/>
    </row>
    <row r="107" ht="51.9" customHeight="1" s="26">
      <c r="A107" s="65" t="inlineStr">
        <is>
          <t>EV-HU26-INF-06</t>
        </is>
      </c>
      <c r="B107" s="65" t="inlineStr">
        <is>
          <t>EV-HU26-INF-02</t>
        </is>
      </c>
      <c r="C107" s="65" t="inlineStr">
        <is>
          <t>HU-26</t>
        </is>
      </c>
      <c r="D107" s="65" t="inlineStr">
        <is>
          <t>Captura</t>
        </is>
      </c>
      <c r="E107" s="65" t="inlineStr">
        <is>
          <t>Captura de la regresión (extracto: primeras 10 de 165 filas)</t>
        </is>
      </c>
      <c r="F107" s="65" t="inlineStr">
        <is>
          <t>EV-HU26-INF-06_captura-informe-regresion-extracto.png</t>
        </is>
      </c>
      <c r="G107" s="65" t="inlineStr">
        <is>
          <t>backend/qa/03_Evidencias/HU26/</t>
        </is>
      </c>
      <c r="H107" s="65" t="inlineStr">
        <is>
          <t>QA</t>
        </is>
      </c>
      <c r="I107" s="65" t="inlineStr">
        <is>
          <t>30/10/2026 09:14</t>
        </is>
      </c>
      <c r="J107" s="65" t="inlineStr">
        <is>
          <t>169</t>
        </is>
      </c>
      <c r="K107" s="65" t="inlineStr">
        <is>
          <t>26cf0f90f962a0f29646cbe57efb22d64cdd20ca2a9c337a0bacfa547c4872b3</t>
        </is>
      </c>
      <c r="L107" s="65" t="inlineStr">
        <is>
          <t>c4fadff (qa-elliot)</t>
        </is>
      </c>
      <c r="M107" s="66" t="inlineStr">
        <is>
          <t>Adjuntada</t>
        </is>
      </c>
      <c r="N107" s="66" t="inlineStr">
        <is>
          <t>Informativo</t>
        </is>
      </c>
      <c r="O107" s="65" t="n"/>
    </row>
    <row r="108" s="26">
      <c r="A108" s="67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8" t="n"/>
      <c r="N108" s="68" t="n"/>
      <c r="O108" s="67" t="n"/>
    </row>
    <row r="109" s="26">
      <c r="A109" s="67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8" t="n"/>
      <c r="N109" s="68" t="n"/>
      <c r="O109" s="67" t="n"/>
    </row>
    <row r="110" s="26">
      <c r="A110" s="67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8" t="n"/>
      <c r="N110" s="68" t="n"/>
      <c r="O110" s="67" t="n"/>
    </row>
    <row r="111" s="26">
      <c r="A111" s="67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8" t="n"/>
      <c r="N111" s="68" t="n"/>
      <c r="O111" s="67" t="n"/>
    </row>
    <row r="112" s="26">
      <c r="A112" s="67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8" t="n"/>
      <c r="N112" s="68" t="n"/>
      <c r="O112" s="67" t="n"/>
    </row>
    <row r="113" s="26">
      <c r="A113" s="67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8" t="n"/>
      <c r="N113" s="68" t="n"/>
      <c r="O113" s="67" t="n"/>
    </row>
    <row r="114" s="26">
      <c r="A114" s="67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8" t="n"/>
      <c r="N114" s="68" t="n"/>
      <c r="O114" s="67" t="n"/>
    </row>
    <row r="115" s="26">
      <c r="A115" s="67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8" t="n"/>
      <c r="N115" s="68" t="n"/>
      <c r="O115" s="67" t="n"/>
    </row>
    <row r="116" s="26">
      <c r="A116" s="67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8" t="n"/>
      <c r="N116" s="68" t="n"/>
      <c r="O116" s="67" t="n"/>
    </row>
    <row r="117" s="26">
      <c r="A117" s="67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8" t="n"/>
      <c r="N117" s="68" t="n"/>
      <c r="O117" s="67" t="n"/>
    </row>
    <row r="118" s="26">
      <c r="A118" s="67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8" t="n"/>
      <c r="N118" s="68" t="n"/>
      <c r="O118" s="67" t="n"/>
    </row>
    <row r="119" s="26">
      <c r="A119" s="67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8" t="n"/>
      <c r="N119" s="68" t="n"/>
      <c r="O119" s="67" t="n"/>
    </row>
    <row r="120" s="26">
      <c r="A120" s="67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8" t="n"/>
      <c r="N120" s="68" t="n"/>
      <c r="O120" s="67" t="n"/>
    </row>
    <row r="121" s="26">
      <c r="A121" s="67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8" t="n"/>
      <c r="N121" s="68" t="n"/>
      <c r="O121" s="67" t="n"/>
    </row>
    <row r="122" s="26">
      <c r="A122" s="67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8" t="n"/>
      <c r="N122" s="68" t="n"/>
      <c r="O122" s="67" t="n"/>
    </row>
    <row r="123" s="26">
      <c r="A123" s="67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8" t="n"/>
      <c r="N123" s="68" t="n"/>
      <c r="O123" s="67" t="n"/>
    </row>
    <row r="124" s="26">
      <c r="A124" s="67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8" t="n"/>
      <c r="N124" s="68" t="n"/>
      <c r="O124" s="67" t="n"/>
    </row>
    <row r="125" s="26">
      <c r="A125" s="67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8" t="n"/>
      <c r="N125" s="68" t="n"/>
      <c r="O125" s="67" t="n"/>
    </row>
    <row r="126" s="26">
      <c r="A126" s="67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8" t="n"/>
      <c r="N126" s="68" t="n"/>
      <c r="O126" s="67" t="n"/>
    </row>
    <row r="127" s="26">
      <c r="A127" s="6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8" t="n"/>
      <c r="N127" s="68" t="n"/>
      <c r="O127" s="67" t="n"/>
    </row>
    <row r="505" ht="15" customHeight="1" s="26"/>
    <row r="506" ht="15" customHeight="1" s="26"/>
    <row r="507" ht="15" customHeight="1" s="26"/>
    <row r="508" ht="15" customHeight="1" s="26"/>
    <row r="509" ht="15" customHeight="1" s="26"/>
    <row r="510" ht="15" customHeight="1" s="26"/>
    <row r="511" ht="15" customHeight="1" s="26"/>
    <row r="512" ht="15" customHeight="1" s="26"/>
    <row r="513" ht="15" customHeight="1" s="26"/>
    <row r="514" ht="15" customHeight="1" s="26"/>
    <row r="515" ht="15" customHeight="1" s="26"/>
    <row r="516" ht="15" customHeight="1" s="26"/>
    <row r="517" ht="15" customHeight="1" s="26"/>
    <row r="518" ht="15" customHeight="1" s="26"/>
    <row r="519" ht="15" customHeight="1" s="26"/>
    <row r="520" ht="15" customHeight="1" s="26"/>
    <row r="521" ht="15" customHeight="1" s="26"/>
    <row r="522" ht="15" customHeight="1" s="26"/>
    <row r="523" ht="15" customHeight="1" s="26"/>
    <row r="524" ht="15" customHeight="1" s="26"/>
    <row r="525" ht="15" customHeight="1" s="26"/>
    <row r="526" ht="15" customHeight="1" s="26"/>
    <row r="527" ht="15" customHeight="1" s="26"/>
    <row r="528" ht="15" customHeight="1" s="26"/>
    <row r="529" ht="15" customHeight="1" s="26"/>
    <row r="530" ht="15" customHeight="1" s="26"/>
    <row r="531" ht="15" customHeight="1" s="26"/>
    <row r="532" ht="15" customHeight="1" s="26"/>
    <row r="533" ht="15" customHeight="1" s="26"/>
    <row r="534" ht="15" customHeight="1" s="26"/>
    <row r="535" ht="15" customHeight="1" s="26"/>
    <row r="536" ht="15" customHeight="1" s="26"/>
    <row r="537" ht="15" customHeight="1" s="26"/>
    <row r="538" ht="15" customHeight="1" s="26"/>
    <row r="539" ht="15" customHeight="1" s="26"/>
    <row r="540" ht="15" customHeight="1" s="26"/>
    <row r="541" ht="15" customHeight="1" s="26"/>
  </sheetData>
  <conditionalFormatting sqref="M2:M4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"Adjuntada"</formula>
    </cfRule>
    <cfRule type="cellIs" rank="0" priority="4" equalAverage="0" operator="equal" aboveAverage="0" dxfId="2" text="" percent="0" bottom="0">
      <formula>"No aplica"</formula>
    </cfRule>
  </conditionalFormatting>
  <conditionalFormatting sqref="N2:N400">
    <cfRule type="cellIs" rank="0" priority="5" equalAverage="0" operator="equal" aboveAverage="0" dxfId="3" text="" percent="0" bottom="0">
      <formula>"Fallido"</formula>
    </cfRule>
    <cfRule type="cellIs" rank="0" priority="6" equalAverage="0" operator="equal" aboveAverage="0" dxfId="4" text="" percent="0" bottom="0">
      <formula>"Bloqueado"</formula>
    </cfRule>
    <cfRule type="cellIs" rank="0" priority="7" equalAverage="0" operator="equal" aboveAverage="0" dxfId="1" text="" percent="0" bottom="0">
      <formula>"Aprobado"</formula>
    </cfRule>
    <cfRule type="cellIs" rank="0" priority="8" equalAverage="0" operator="equal" aboveAverage="0" dxfId="5" text="" percent="0" bottom="0">
      <formula>"Informativo"</formula>
    </cfRule>
  </conditionalFormatting>
  <dataValidations count="3">
    <dataValidation sqref="D2:D400" showDropDown="0" showInputMessage="0" showErrorMessage="0" allowBlank="1" type="list">
      <formula1>"Captura,Captura + respuesta API,Fila de informe,Informe HTML,Log,Video,Video + PDF,PDF"</formula1>
    </dataValidation>
    <dataValidation sqref="M2:M400" showDropDown="0" showInputMessage="0" showErrorMessage="0" allowBlank="1" type="list">
      <formula1>"Pendiente,Adjuntada,No aplica"</formula1>
    </dataValidation>
    <dataValidation sqref="N2:N400" showDropDown="0" showInputMessage="0" showErrorMessage="0" allowBlank="1" type="list">
      <formula1>"Aprobado,Fallido,Bloqueado,Informativo"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5" min="1" max="1"/>
    <col width="16" customWidth="1" style="25" min="2" max="3"/>
  </cols>
  <sheetData>
    <row r="1" ht="21" customHeight="1" s="26">
      <c r="A1" s="69" t="inlineStr">
        <is>
          <t>Resumen de evidencias</t>
        </is>
      </c>
      <c r="B1" s="53" t="n"/>
      <c r="C1" s="53" t="n"/>
    </row>
    <row r="2" s="26">
      <c r="A2" s="53" t="n"/>
      <c r="B2" s="53" t="n"/>
      <c r="C2" s="53" t="n"/>
    </row>
    <row r="3" ht="18.5" customHeight="1" s="26">
      <c r="A3" s="70" t="inlineStr">
        <is>
          <t>Se calcula solo. No escribir en esta hoja.</t>
        </is>
      </c>
      <c r="B3" s="53" t="n"/>
      <c r="C3" s="53" t="n"/>
    </row>
    <row r="4" s="26">
      <c r="A4" s="53" t="n"/>
      <c r="B4" s="53" t="n"/>
      <c r="C4" s="53" t="n"/>
    </row>
    <row r="5" ht="18.5" customHeight="1" s="26">
      <c r="A5" s="71" t="inlineStr">
        <is>
          <t>Indicador</t>
        </is>
      </c>
      <c r="B5" s="71" t="inlineStr">
        <is>
          <t>Cantidad</t>
        </is>
      </c>
      <c r="C5" s="71" t="inlineStr">
        <is>
          <t>% del total</t>
        </is>
      </c>
    </row>
    <row r="6" ht="18.5" customHeight="1" s="26">
      <c r="A6" s="72" t="inlineStr">
        <is>
          <t>Evidencias registradas</t>
        </is>
      </c>
      <c r="B6" s="72">
        <f>COUNTA(Registro!A2:A400)</f>
        <v/>
      </c>
      <c r="C6" s="73" t="n"/>
    </row>
    <row r="7" ht="18.5" customHeight="1" s="26">
      <c r="A7" s="72" t="inlineStr">
        <is>
          <t>Adjuntadas</t>
        </is>
      </c>
      <c r="B7" s="72">
        <f>COUNTIF(Registro!M2:K400,"Adjuntada")</f>
        <v/>
      </c>
      <c r="C7" s="74">
        <f>IF(B6=0,0,B7/B6)</f>
        <v/>
      </c>
    </row>
    <row r="8" ht="18.5" customHeight="1" s="26">
      <c r="A8" s="72" t="inlineStr">
        <is>
          <t>Pendientes</t>
        </is>
      </c>
      <c r="B8" s="72">
        <f>COUNTIF(Registro!M2:K400,"Pendiente")</f>
        <v/>
      </c>
      <c r="C8" s="74">
        <f>IF(B6=0,0,B8/B6)</f>
        <v/>
      </c>
    </row>
    <row r="9" ht="18.5" customHeight="1" s="26">
      <c r="A9" s="72" t="inlineStr">
        <is>
          <t>No aplica</t>
        </is>
      </c>
      <c r="B9" s="72">
        <f>COUNTIF(Registro!M2:K400,"No aplica")</f>
        <v/>
      </c>
      <c r="C9" s="74">
        <f>IF(B6=0,0,B9/B6)</f>
        <v/>
      </c>
    </row>
    <row r="10" s="26">
      <c r="A10" s="53" t="n"/>
      <c r="B10" s="53" t="n"/>
      <c r="C10" s="53" t="n"/>
    </row>
    <row r="11" ht="21" customHeight="1" s="26">
      <c r="A11" s="69" t="inlineStr">
        <is>
          <t>Resultado de los casos</t>
        </is>
      </c>
      <c r="B11" s="53" t="n"/>
      <c r="C11" s="53" t="n"/>
    </row>
    <row r="12" ht="18.5" customHeight="1" s="26">
      <c r="A12" s="71" t="inlineStr">
        <is>
          <t>Indicador</t>
        </is>
      </c>
      <c r="B12" s="71" t="inlineStr">
        <is>
          <t>Cantidad</t>
        </is>
      </c>
      <c r="C12" s="71" t="inlineStr">
        <is>
          <t>% del total</t>
        </is>
      </c>
    </row>
    <row r="13" ht="18.5" customHeight="1" s="26">
      <c r="A13" s="72" t="inlineStr">
        <is>
          <t>Evidencias de casos aprobados</t>
        </is>
      </c>
      <c r="B13" s="72">
        <f>COUNTIF(Registro!N2:L400,"Aprobado")</f>
        <v/>
      </c>
      <c r="C13" s="74">
        <f>IF(B6=0,0,B13/B6)</f>
        <v/>
      </c>
    </row>
    <row r="14" ht="18.5" customHeight="1" s="26">
      <c r="A14" s="72" t="inlineStr">
        <is>
          <t>Evidencias de casos fallidos</t>
        </is>
      </c>
      <c r="B14" s="72">
        <f>COUNTIF(Registro!N2:L400,"Fallido")</f>
        <v/>
      </c>
      <c r="C14" s="74">
        <f>IF(B6=0,0,B14/B6)</f>
        <v/>
      </c>
    </row>
    <row r="15" ht="18.5" customHeight="1" s="26">
      <c r="A15" s="72" t="inlineStr">
        <is>
          <t>Evidencias de casos bloqueados</t>
        </is>
      </c>
      <c r="B15" s="72">
        <f>COUNTIF(Registro!N2:L400,"Bloqueado")</f>
        <v/>
      </c>
      <c r="C15" s="74">
        <f>IF(B6=0,0,B15/B6)</f>
        <v/>
      </c>
    </row>
    <row r="16" ht="18.5" customHeight="1" s="26">
      <c r="A16" s="72" t="inlineStr">
        <is>
          <t>Evidencias de pruebas informativas</t>
        </is>
      </c>
      <c r="B16" s="72">
        <f>COUNTIF(Registro!N2:L400,"Informativo")</f>
        <v/>
      </c>
      <c r="C16" s="74">
        <f>IF(B6=0,0,B16/B6)</f>
        <v/>
      </c>
    </row>
    <row r="17" ht="18.5" customHeight="1" s="26">
      <c r="A17" s="70" t="inlineStr">
        <is>
          <t>Para ver por qué falló una prueba: en Registro, filtra «Resultado del caso» = Fallido y lee «Por qué falló».</t>
        </is>
      </c>
      <c r="B17" s="53" t="n"/>
      <c r="C17" s="53" t="n"/>
    </row>
    <row r="18" s="26">
      <c r="A18" s="53" t="n"/>
      <c r="B18" s="53" t="n"/>
      <c r="C18" s="53" t="n"/>
    </row>
    <row r="19" ht="18.5" customHeight="1" s="26">
      <c r="A19" s="53" t="n"/>
      <c r="B19" s="53" t="n"/>
      <c r="C19" s="53" t="n"/>
    </row>
    <row r="20" s="26">
      <c r="A20" s="69" t="inlineStr">
        <is>
          <t>Evidencias por caso</t>
        </is>
      </c>
      <c r="B20" s="53" t="n"/>
      <c r="C20" s="53" t="n"/>
    </row>
    <row r="21" s="26">
      <c r="A21" s="71" t="inlineStr">
        <is>
          <t>Indicador</t>
        </is>
      </c>
      <c r="B21" s="71" t="inlineStr">
        <is>
          <t>Cantidad</t>
        </is>
      </c>
      <c r="C21" s="71" t="inlineStr">
        <is>
          <t>% del total</t>
        </is>
      </c>
    </row>
    <row r="22" s="26">
      <c r="A22" s="72" t="inlineStr">
        <is>
          <t>Casos con evidencia propia</t>
        </is>
      </c>
      <c r="B22" s="72">
        <f>SUMPRODUCT((LEN(Registro!A2:A400)=9)*(LEFT(Registro!A2:A400,6)="EV-CP-"))</f>
        <v/>
      </c>
      <c r="C22" s="75" t="n"/>
    </row>
    <row r="23" s="26">
      <c r="A23" s="72" t="inlineStr">
        <is>
          <t>Capturas de pantalla por caso</t>
        </is>
      </c>
      <c r="B23" s="72">
        <f>COUNTIFS(Registro!D2:D400,"Captura",Registro!A2:A400,"EV-CP*")</f>
        <v/>
      </c>
      <c r="C23" s="74">
        <f>IF(B6=0,0,B23/B6)</f>
        <v/>
      </c>
    </row>
    <row r="24" s="26">
      <c r="A24" s="72" t="inlineStr">
        <is>
          <t>Filas de informe pytest</t>
        </is>
      </c>
      <c r="B24" s="72">
        <f>COUNTIF(Registro!D2:D400,"Fila de informe")</f>
        <v/>
      </c>
      <c r="C24" s="74">
        <f>IF(B6=0,0,B24/B6)</f>
        <v/>
      </c>
    </row>
    <row r="25" s="26">
      <c r="A25" s="72" t="inlineStr">
        <is>
          <t>Informes de conjunto</t>
        </is>
      </c>
      <c r="B25" s="72">
        <f>COUNTIF(Registro!A2:A400,"EV-HU*")</f>
        <v/>
      </c>
      <c r="C25" s="74">
        <f>IF(B6=0,0,B25/B6)</f>
        <v/>
      </c>
    </row>
    <row r="26" s="26">
      <c r="A26" s="70" t="inlineStr">
        <is>
          <t>Un caso tiene evidencia propia cuando existe EV-CP-0xx con su mismo número.</t>
        </is>
      </c>
      <c r="B26" s="53" t="n"/>
      <c r="C26" s="53" t="n"/>
    </row>
    <row r="27" s="26">
      <c r="A27" s="53" t="n"/>
      <c r="B27" s="53" t="n"/>
      <c r="C27" s="53" t="n"/>
    </row>
    <row r="28" s="26">
      <c r="A28" s="76" t="inlineStr">
        <is>
          <t>Criterio de cierre: todo caso Aprobado o Fallido tiene su evidencia Adjuntada.</t>
        </is>
      </c>
      <c r="B28" s="79" t="n"/>
      <c r="C28" s="78" t="n"/>
    </row>
  </sheetData>
  <mergeCells count="1">
    <mergeCell ref="A28:C2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2026-10-26T14:25:34Z</dcterms:created>
  <dcterms:modified xmlns:dcterms="http://purl.org/dc/terms/" xmlns:xsi="http://www.w3.org/2001/XMLSchema-instance" xsi:type="dcterms:W3CDTF">2026-10-30T14:14:32Z</dcterms:modified>
  <cp:lastModifiedBy>Desarrollo Ceneris</cp:lastModifiedBy>
  <cp:revision>0</cp:revision>
</cp:coreProperties>
</file>