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esum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Segoe UI"/>
      <charset val="1"/>
      <family val="0"/>
      <b val="1"/>
      <color rgb="005E4B7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5E4B7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5E4B73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</fonts>
  <fills count="14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00ECE8F1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E4E7EA"/>
      </patternFill>
    </fill>
    <fill>
      <patternFill patternType="solid">
        <fgColor rgb="005E4B73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6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4" pivotButton="0" quotePrefix="0" xfId="0"/>
    <xf numFmtId="0" fontId="13" fillId="0" borderId="0" applyAlignment="1" pivotButton="0" quotePrefix="0" xfId="0">
      <alignment horizontal="general" vertical="top"/>
    </xf>
    <xf numFmtId="0" fontId="14" fillId="0" borderId="0" pivotButton="0" quotePrefix="0" xfId="0"/>
    <xf numFmtId="0" fontId="15" fillId="0" borderId="0" applyAlignment="1" pivotButton="0" quotePrefix="0" xfId="0">
      <alignment horizontal="general" vertical="top"/>
    </xf>
    <xf numFmtId="0" fontId="16" fillId="9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6" fillId="0" borderId="5" applyAlignment="1" pivotButton="0" quotePrefix="0" xfId="0">
      <alignment horizontal="general" vertical="top"/>
    </xf>
    <xf numFmtId="0" fontId="16" fillId="10" borderId="5" applyAlignment="1" pivotButton="0" quotePrefix="0" xfId="0">
      <alignment horizontal="general" vertical="top"/>
    </xf>
    <xf numFmtId="0" fontId="16" fillId="11" borderId="5" applyAlignment="1" pivotButton="0" quotePrefix="0" xfId="0">
      <alignment horizontal="general" vertical="top"/>
    </xf>
    <xf numFmtId="0" fontId="16" fillId="12" borderId="5" applyAlignment="1" pivotButton="0" quotePrefix="0" xfId="0">
      <alignment horizontal="general" vertical="top"/>
    </xf>
    <xf numFmtId="0" fontId="19" fillId="0" borderId="6" applyAlignment="1" pivotButton="0" quotePrefix="0" xfId="0">
      <alignment horizontal="general" vertical="top" wrapText="1"/>
    </xf>
    <xf numFmtId="0" fontId="14" fillId="0" borderId="6" pivotButton="0" quotePrefix="0" xfId="0"/>
    <xf numFmtId="0" fontId="20" fillId="13" borderId="5" applyAlignment="1" pivotButton="0" quotePrefix="0" xfId="0">
      <alignment horizontal="center" vertical="top" wrapText="1"/>
    </xf>
    <xf numFmtId="0" fontId="21" fillId="0" borderId="5" applyAlignment="1" pivotButton="0" quotePrefix="0" xfId="0">
      <alignment horizontal="general" vertical="top" wrapText="1"/>
    </xf>
    <xf numFmtId="0" fontId="21" fillId="11" borderId="5" applyAlignment="1" pivotButton="0" quotePrefix="0" xfId="0">
      <alignment horizontal="general" vertical="top" wrapText="1"/>
    </xf>
    <xf numFmtId="0" fontId="14" fillId="0" borderId="5" applyAlignment="1" pivotButton="0" quotePrefix="0" xfId="0">
      <alignment horizontal="general" vertical="top" wrapText="1"/>
    </xf>
    <xf numFmtId="0" fontId="14" fillId="11" borderId="5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top"/>
    </xf>
    <xf numFmtId="0" fontId="20" fillId="13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/>
    </xf>
    <xf numFmtId="0" fontId="14" fillId="0" borderId="5" applyAlignment="1" pivotButton="0" quotePrefix="0" xfId="0">
      <alignment horizontal="general" vertical="bottom"/>
    </xf>
    <xf numFmtId="165" fontId="17" fillId="0" borderId="5" applyAlignment="1" pivotButton="0" quotePrefix="0" xfId="0">
      <alignment horizontal="general" vertical="top"/>
    </xf>
    <xf numFmtId="165" fontId="24" fillId="0" borderId="5" applyAlignment="1" pivotButton="0" quotePrefix="0" xfId="0">
      <alignment horizontal="general" vertical="bottom"/>
    </xf>
    <xf numFmtId="0" fontId="23" fillId="0" borderId="6" applyAlignment="1" pivotButton="0" quotePrefix="0" xfId="0">
      <alignment horizontal="general" vertical="top"/>
    </xf>
    <xf numFmtId="0" fontId="14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F2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B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95" customWidth="1" style="25" min="2" max="2"/>
  </cols>
  <sheetData>
    <row r="1" ht="23.25" customHeight="1" s="26">
      <c r="A1" s="52" t="inlineStr">
        <is>
          <t>Registro de Evidencias</t>
        </is>
      </c>
      <c r="B1" s="53" t="n"/>
    </row>
    <row r="2" ht="18.5" customHeight="1" s="26">
      <c r="A2" s="54" t="inlineStr">
        <is>
          <t>[Nombre del proyecto] (tablero [CLAVE])</t>
        </is>
      </c>
      <c r="B2" s="53" t="n"/>
    </row>
    <row r="3" s="26">
      <c r="A3" s="53" t="n"/>
      <c r="B3" s="53" t="n"/>
    </row>
    <row r="4" ht="18.5" customHeight="1" s="26">
      <c r="A4" s="55" t="inlineStr">
        <is>
          <t>Entregable</t>
        </is>
      </c>
      <c r="B4" s="56" t="inlineStr">
        <is>
          <t>Matriz de Responsabilidades de Documentación - rol Aseguramiento de Calidad (QA)</t>
        </is>
      </c>
    </row>
    <row r="5" ht="33" customHeight="1" s="26">
      <c r="A5" s="55" t="inlineStr">
        <is>
          <t>Documentos que cubre</t>
        </is>
      </c>
      <c r="B5" s="56" t="inlineStr">
        <is>
          <t>Índice de capturas, videos, PDF y respuestas de API que respaldan cada caso de prueba del tablero [CLAVE].</t>
        </is>
      </c>
    </row>
    <row r="6" ht="18.5" customHeight="1" s="26">
      <c r="A6" s="55" t="inlineStr">
        <is>
          <t>Responsable</t>
        </is>
      </c>
      <c r="B6" s="56" t="inlineStr">
        <is>
          <t>[Nombre y apellido], [rol]</t>
        </is>
      </c>
    </row>
    <row r="7" ht="18.5" customHeight="1" s="26">
      <c r="A7" s="55" t="inlineStr">
        <is>
          <t>Versión</t>
        </is>
      </c>
      <c r="B7" s="56" t="n">
        <v>0.1</v>
      </c>
    </row>
    <row r="8" ht="33" customHeight="1" s="26">
      <c r="A8" s="55" t="inlineStr">
        <is>
          <t>Fecha de elaboración</t>
        </is>
      </c>
      <c r="B8" s="56" t="inlineStr">
        <is>
          <t>[dd/mm/aaaa] · [Sprint o periodo: fecha inicio al fecha fin]</t>
        </is>
      </c>
    </row>
    <row r="9" ht="18.5" customHeight="1" s="26">
      <c r="A9" s="55" t="inlineStr">
        <is>
          <t>Estado</t>
        </is>
      </c>
      <c r="B9" s="56" t="inlineStr">
        <is>
          <t>Borrador ( )     En revisión (X)     Aprobado ( )</t>
        </is>
      </c>
    </row>
    <row r="10" ht="18.5" customHeight="1" s="26">
      <c r="A10" s="55" t="inlineStr">
        <is>
          <t>Aprobado por</t>
        </is>
      </c>
      <c r="B10" s="56" t="inlineStr">
        <is>
          <t>Scrum Master  /  Product Owner de [Proyecto]</t>
        </is>
      </c>
    </row>
    <row r="11" s="26">
      <c r="A11" s="53" t="n"/>
      <c r="B11" s="53" t="n"/>
    </row>
    <row r="12" ht="18.5" customHeight="1" s="26">
      <c r="A12" s="57" t="inlineStr">
        <is>
          <t>Cómo se usa este libro</t>
        </is>
      </c>
      <c r="B12" s="53" t="n"/>
    </row>
    <row r="13" s="26">
      <c r="A13" s="53" t="n"/>
      <c r="B13" s="53" t="n"/>
    </row>
    <row r="14" ht="47.5" customHeight="1" s="26">
      <c r="A14" s="58" t="inlineStr">
        <is>
          <t>Registro</t>
        </is>
      </c>
      <c r="B14" s="56" t="inlineStr">
        <is>
          <t>Una fila por archivo. EV-CP-0xx es la evidencia del caso CP-0xx (EV-CP-0xx-02, -03… si tiene más de una). Los informes que respaldan muchos casos a la vez usan EV-&lt;HU&gt;-INF-xx. Se registran evidencias de los casos aprobados y de los fallidos.</t>
        </is>
      </c>
    </row>
    <row r="15" ht="33" customHeight="1" s="26">
      <c r="A15" s="58" t="inlineStr">
        <is>
          <t>Nombre de archivo</t>
        </is>
      </c>
      <c r="B15" s="56" t="inlineStr">
        <is>
          <t>EV-CP-0xx_&lt;descripcion-corta&gt;.&lt;ext&gt;   ej.: EV-CP-001_lista-usuarios.png · informes: EV-HU01-INF-03_captura-informe-pytest.png</t>
        </is>
      </c>
    </row>
    <row r="16" ht="18.5" customHeight="1" s="26">
      <c r="A16" s="58" t="inlineStr">
        <is>
          <t>Carpetas</t>
        </is>
      </c>
      <c r="B16" s="56" t="inlineStr">
        <is>
          <t>03_Evidencias / &lt;HU&gt; /   ej.: QA/03_Evidencias/HU-01/EV-CP-001_lista-usuarios.png</t>
        </is>
      </c>
    </row>
    <row r="17" ht="62" customHeight="1" s="26">
      <c r="A17" s="58" t="inlineStr">
        <is>
          <t>Qué debe verse</t>
        </is>
      </c>
      <c r="B17" s="56" t="inlineStr">
        <is>
          <t>Fecha y hora del sistema, usuario con sesión iniciada, URL o pantalla y el resultado. En pruebas de API: petición y respuesta completas. Las capturas de Playwright muestran el usuario con sesión pero no la URL ni la hora; la hora exacta va en la columna Fecha y hora, tomada del informe. Tamaño y SHA-256 permiten comprobar que el archivo no cambió.</t>
        </is>
      </c>
    </row>
    <row r="18" ht="18.5" customHeight="1" s="26">
      <c r="A18" s="58" t="inlineStr">
        <is>
          <t>Videos</t>
        </is>
      </c>
      <c r="B18" s="56" t="inlineStr">
        <is>
          <t>MP4, máximo 3 minutos, sin datos personales reales. Para E2E y casos críticos.</t>
        </is>
      </c>
    </row>
    <row r="19" ht="18.5" customHeight="1" s="26">
      <c r="A19" s="58" t="inlineStr">
        <is>
          <t>Resumen</t>
        </is>
      </c>
      <c r="B19" s="56" t="inlineStr">
        <is>
          <t>Se calcula solo. No escribir en ella.</t>
        </is>
      </c>
    </row>
    <row r="20" s="26">
      <c r="A20" s="53" t="n"/>
      <c r="B20" s="53" t="n"/>
    </row>
    <row r="21" ht="18.5" customHeight="1" s="26">
      <c r="A21" s="57" t="inlineStr">
        <is>
          <t>Leyenda de Estado de la evidencia</t>
        </is>
      </c>
      <c r="B21" s="53" t="n"/>
    </row>
    <row r="22" s="26">
      <c r="A22" s="53" t="n"/>
      <c r="B22" s="53" t="n"/>
    </row>
    <row r="23" ht="18.5" customHeight="1" s="26">
      <c r="A23" s="59" t="inlineStr">
        <is>
          <t>Pendiente</t>
        </is>
      </c>
      <c r="B23" s="56" t="inlineStr">
        <is>
          <t>Registrada en esta hoja, pero el archivo aún no está en su carpeta.</t>
        </is>
      </c>
    </row>
    <row r="24" ht="18.5" customHeight="1" s="26">
      <c r="A24" s="60" t="inlineStr">
        <is>
          <t>Adjuntada</t>
        </is>
      </c>
      <c r="B24" s="56" t="inlineStr">
        <is>
          <t>El archivo está en la carpeta indicada en Ubicación, con el nombre correcto.</t>
        </is>
      </c>
    </row>
    <row r="25" ht="18.5" customHeight="1" s="26">
      <c r="A25" s="61" t="inlineStr">
        <is>
          <t>No aplica</t>
        </is>
      </c>
      <c r="B25" s="56" t="inlineStr">
        <is>
          <t>El caso no se ejecutó (Bloqueado / No aplica).</t>
        </is>
      </c>
    </row>
    <row r="26" s="26">
      <c r="A26" s="53" t="n"/>
      <c r="B26" s="53" t="n"/>
    </row>
    <row r="27" ht="62" customHeight="1" s="26">
      <c r="A27" s="62" t="inlineStr">
        <is>
          <t>Plantilla en blanco (v0.2). Reemplaza los valores entre [corchetes] con los datos del proyecto y borra esta nota.</t>
        </is>
      </c>
      <c r="B27" s="78" t="n"/>
    </row>
  </sheetData>
  <mergeCells count="1">
    <mergeCell ref="A27:B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O1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5" customWidth="1" style="26" min="1" max="1"/>
    <col width="9" customWidth="1" style="26" min="2" max="2"/>
    <col width="9" customWidth="1" style="26" min="3" max="3"/>
    <col width="14" customWidth="1" style="26" min="4" max="4"/>
    <col width="58" customWidth="1" style="26" min="5" max="5"/>
    <col width="40" customWidth="1" style="26" min="6" max="6"/>
    <col width="24" customWidth="1" style="26" min="7" max="7"/>
    <col width="12" customWidth="1" style="26" min="8" max="8"/>
    <col width="17" customWidth="1" style="26" min="9" max="9"/>
    <col width="10" customWidth="1" style="26" min="10" max="10"/>
    <col width="30" customWidth="1" style="26" min="11" max="11"/>
    <col width="12" customWidth="1" style="26" min="12" max="12"/>
    <col width="12" customWidth="1" style="26" min="13" max="13"/>
    <col width="13" customWidth="1" style="26" min="14" max="14"/>
    <col width="30" customWidth="1" style="26" min="15" max="15"/>
  </cols>
  <sheetData>
    <row r="1" ht="33" customHeight="1" s="26">
      <c r="A1" s="64" t="inlineStr">
        <is>
          <t>ID evidencia</t>
        </is>
      </c>
      <c r="B1" s="64" t="inlineStr">
        <is>
          <t>Caso</t>
        </is>
      </c>
      <c r="C1" s="64" t="inlineStr">
        <is>
          <t>Historia</t>
        </is>
      </c>
      <c r="D1" s="64" t="inlineStr">
        <is>
          <t>Tipo</t>
        </is>
      </c>
      <c r="E1" s="64" t="inlineStr">
        <is>
          <t>Qué muestra</t>
        </is>
      </c>
      <c r="F1" s="64" t="inlineStr">
        <is>
          <t>Nombre de archivo</t>
        </is>
      </c>
      <c r="G1" s="64" t="inlineStr">
        <is>
          <t>Ubicación</t>
        </is>
      </c>
      <c r="H1" s="64" t="inlineStr">
        <is>
          <t>Capturado por</t>
        </is>
      </c>
      <c r="I1" s="64" t="inlineStr">
        <is>
          <t>Fecha y hora (Lima)</t>
        </is>
      </c>
      <c r="J1" s="64" t="inlineStr">
        <is>
          <t>Tamaño (KB)</t>
        </is>
      </c>
      <c r="K1" s="64" t="inlineStr">
        <is>
          <t>SHA-256</t>
        </is>
      </c>
      <c r="L1" s="64" t="inlineStr">
        <is>
          <t>Commit probado</t>
        </is>
      </c>
      <c r="M1" s="64" t="inlineStr">
        <is>
          <t>Estado</t>
        </is>
      </c>
      <c r="N1" s="64" t="inlineStr">
        <is>
          <t>Resultado del caso</t>
        </is>
      </c>
      <c r="O1" s="64" t="inlineStr">
        <is>
          <t>Por qué falló (si falló)</t>
        </is>
      </c>
    </row>
    <row r="2" ht="67.8" customFormat="1" customHeight="1" s="39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6" t="n"/>
      <c r="N2" s="66" t="n"/>
      <c r="O2" s="65" t="n"/>
    </row>
    <row r="3" ht="67.8" customFormat="1" customHeight="1" s="39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6" t="n"/>
      <c r="N3" s="66" t="n"/>
      <c r="O3" s="65" t="n"/>
    </row>
    <row r="4" ht="51.9" customFormat="1" customHeight="1" s="39">
      <c r="A4" s="65" t="n"/>
      <c r="B4" s="65" t="n"/>
      <c r="C4" s="65" t="n"/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6" t="n"/>
      <c r="N4" s="66" t="n"/>
      <c r="O4" s="65" t="n"/>
    </row>
    <row r="5" ht="67.8" customFormat="1" customHeight="1" s="39">
      <c r="A5" s="65" t="n"/>
      <c r="B5" s="65" t="n"/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6" t="n"/>
      <c r="N5" s="66" t="n"/>
      <c r="O5" s="65" t="n"/>
    </row>
    <row r="6" ht="51.9" customFormat="1" customHeight="1" s="39">
      <c r="A6" s="65" t="n"/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  <c r="N6" s="66" t="n"/>
      <c r="O6" s="65" t="n"/>
    </row>
    <row r="7" ht="51.9" customFormat="1" customHeight="1" s="39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6" t="n"/>
      <c r="N7" s="66" t="n"/>
      <c r="O7" s="65" t="n"/>
    </row>
    <row r="8" ht="51.9" customFormat="1" customHeight="1" s="39">
      <c r="A8" s="65" t="n"/>
      <c r="B8" s="65" t="n"/>
      <c r="C8" s="65" t="n"/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6" t="n"/>
      <c r="N8" s="66" t="n"/>
      <c r="O8" s="65" t="n"/>
    </row>
    <row r="9" ht="67.8" customFormat="1" customHeight="1" s="39">
      <c r="A9" s="65" t="n"/>
      <c r="B9" s="65" t="n"/>
      <c r="C9" s="65" t="n"/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6" t="n"/>
      <c r="N9" s="66" t="n"/>
      <c r="O9" s="65" t="n"/>
    </row>
    <row r="10" ht="67.8" customHeight="1" s="26">
      <c r="A10" s="65" t="n"/>
      <c r="B10" s="65" t="n"/>
      <c r="C10" s="65" t="n"/>
      <c r="D10" s="65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6" t="n"/>
      <c r="N10" s="66" t="n"/>
      <c r="O10" s="65" t="n"/>
    </row>
    <row r="11" ht="51.9" customHeight="1" s="26">
      <c r="A11" s="65" t="n"/>
      <c r="B11" s="65" t="n"/>
      <c r="C11" s="65" t="n"/>
      <c r="D11" s="65" t="n"/>
      <c r="E11" s="65" t="n"/>
      <c r="F11" s="65" t="n"/>
      <c r="G11" s="65" t="n"/>
      <c r="H11" s="65" t="n"/>
      <c r="I11" s="65" t="n"/>
      <c r="J11" s="65" t="n"/>
      <c r="K11" s="65" t="n"/>
      <c r="L11" s="65" t="n"/>
      <c r="M11" s="66" t="n"/>
      <c r="N11" s="66" t="n"/>
      <c r="O11" s="65" t="n"/>
    </row>
    <row r="12" ht="51.9" customHeight="1" s="26">
      <c r="A12" s="65" t="n"/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6" t="n"/>
      <c r="N12" s="66" t="n"/>
      <c r="O12" s="65" t="n"/>
    </row>
    <row r="13" ht="51.9" customHeight="1" s="26">
      <c r="A13" s="65" t="n"/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6" t="n"/>
      <c r="N13" s="66" t="n"/>
      <c r="O13" s="65" t="n"/>
    </row>
    <row r="14" ht="67.8" customHeight="1" s="26">
      <c r="A14" s="65" t="n"/>
      <c r="B14" s="65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6" t="n"/>
      <c r="N14" s="66" t="n"/>
      <c r="O14" s="65" t="n"/>
    </row>
    <row r="15" ht="83.8" customHeight="1" s="26">
      <c r="A15" s="65" t="n"/>
      <c r="B15" s="65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6" t="n"/>
      <c r="N15" s="66" t="n"/>
      <c r="O15" s="65" t="n"/>
    </row>
    <row r="16" ht="67.8" customHeight="1" s="26">
      <c r="A16" s="65" t="n"/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6" t="n"/>
      <c r="N16" s="66" t="n"/>
      <c r="O16" s="65" t="n"/>
    </row>
    <row r="17" ht="51.9" customHeight="1" s="26">
      <c r="A17" s="65" t="n"/>
      <c r="B17" s="65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6" t="n"/>
      <c r="N17" s="66" t="n"/>
      <c r="O17" s="65" t="n"/>
    </row>
    <row r="18" ht="67.8" customHeight="1" s="26">
      <c r="A18" s="65" t="n"/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6" t="n"/>
      <c r="N18" s="66" t="n"/>
      <c r="O18" s="65" t="n"/>
    </row>
    <row r="19" ht="51.9" customHeight="1" s="26">
      <c r="A19" s="65" t="n"/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6" t="n"/>
      <c r="N19" s="66" t="n"/>
      <c r="O19" s="65" t="n"/>
    </row>
    <row r="20" ht="67.8" customHeight="1" s="26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6" t="n"/>
      <c r="N20" s="66" t="n"/>
      <c r="O20" s="65" t="n"/>
    </row>
    <row r="21" ht="51.9" customHeight="1" s="26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6" t="n"/>
      <c r="N21" s="66" t="n"/>
      <c r="O21" s="65" t="n"/>
    </row>
    <row r="22" ht="67.8" customHeight="1" s="26">
      <c r="A22" s="65" t="n"/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6" t="n"/>
      <c r="N22" s="66" t="n"/>
      <c r="O22" s="65" t="n"/>
    </row>
    <row r="23" ht="51.9" customHeight="1" s="26">
      <c r="A23" s="65" t="n"/>
      <c r="B23" s="65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6" t="n"/>
      <c r="N23" s="66" t="n"/>
      <c r="O23" s="65" t="n"/>
    </row>
    <row r="24" ht="67.8" customHeight="1" s="26">
      <c r="A24" s="65" t="n"/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6" t="n"/>
      <c r="N24" s="66" t="n"/>
      <c r="O24" s="65" t="n"/>
    </row>
    <row r="25" ht="51.9" customHeight="1" s="26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6" t="n"/>
      <c r="N25" s="66" t="n"/>
      <c r="O25" s="65" t="n"/>
    </row>
    <row r="26" ht="51.9" customHeight="1" s="26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6" t="n"/>
      <c r="N26" s="66" t="n"/>
      <c r="O26" s="65" t="n"/>
    </row>
    <row r="27" ht="51.9" customHeight="1" s="26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6" t="n"/>
      <c r="N27" s="66" t="n"/>
      <c r="O27" s="65" t="n"/>
    </row>
    <row r="28" ht="51.9" customHeight="1" s="26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6" t="n"/>
      <c r="N28" s="66" t="n"/>
      <c r="O28" s="65" t="n"/>
    </row>
    <row r="29" ht="51.9" customHeight="1" s="26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6" t="n"/>
      <c r="N29" s="66" t="n"/>
      <c r="O29" s="65" t="n"/>
    </row>
    <row r="30" ht="51.9" customHeight="1" s="26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6" t="n"/>
      <c r="N30" s="66" t="n"/>
      <c r="O30" s="65" t="n"/>
    </row>
    <row r="31" ht="51.9" customHeight="1" s="26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6" t="n"/>
      <c r="N31" s="66" t="n"/>
      <c r="O31" s="65" t="n"/>
    </row>
    <row r="32" ht="51.9" customHeight="1" s="26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6" t="n"/>
      <c r="N32" s="66" t="n"/>
      <c r="O32" s="65" t="n"/>
    </row>
    <row r="33" ht="51.9" customHeight="1" s="26">
      <c r="A33" s="65" t="n"/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6" t="n"/>
      <c r="N33" s="66" t="n"/>
      <c r="O33" s="65" t="n"/>
    </row>
    <row r="34" ht="51.9" customHeight="1" s="26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6" t="n"/>
      <c r="N34" s="66" t="n"/>
      <c r="O34" s="65" t="n"/>
    </row>
    <row r="35" ht="51.9" customHeight="1" s="26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6" t="n"/>
      <c r="N35" s="66" t="n"/>
      <c r="O35" s="65" t="n"/>
    </row>
    <row r="36" ht="51.9" customHeight="1" s="26">
      <c r="A36" s="65" t="n"/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6" t="n"/>
      <c r="N36" s="66" t="n"/>
      <c r="O36" s="65" t="n"/>
    </row>
    <row r="37" ht="67.8" customHeight="1" s="26">
      <c r="A37" s="65" t="n"/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6" t="n"/>
      <c r="N37" s="66" t="n"/>
      <c r="O37" s="65" t="n"/>
    </row>
    <row r="38" ht="51.9" customHeight="1" s="26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6" t="n"/>
      <c r="N38" s="66" t="n"/>
      <c r="O38" s="65" t="n"/>
    </row>
    <row r="39" ht="51.9" customHeight="1" s="26">
      <c r="A39" s="65" t="n"/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6" t="n"/>
      <c r="N39" s="66" t="n"/>
      <c r="O39" s="65" t="n"/>
    </row>
    <row r="40" ht="51.9" customHeight="1" s="26">
      <c r="A40" s="65" t="n"/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6" t="n"/>
      <c r="N40" s="66" t="n"/>
      <c r="O40" s="65" t="n"/>
    </row>
    <row r="41" ht="51.9" customHeight="1" s="26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6" t="n"/>
      <c r="N41" s="66" t="n"/>
      <c r="O41" s="65" t="n"/>
    </row>
    <row r="42" ht="51.9" customHeight="1" s="26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6" t="n"/>
      <c r="N42" s="66" t="n"/>
      <c r="O42" s="65" t="n"/>
    </row>
    <row r="43" ht="51.9" customHeight="1" s="26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6" t="n"/>
      <c r="N43" s="66" t="n"/>
      <c r="O43" s="65" t="n"/>
    </row>
    <row r="44" ht="51.9" customHeight="1" s="26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6" t="n"/>
      <c r="N44" s="66" t="n"/>
      <c r="O44" s="65" t="n"/>
    </row>
    <row r="45" ht="51.9" customHeight="1" s="26">
      <c r="A45" s="65" t="n"/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6" t="n"/>
      <c r="N45" s="66" t="n"/>
      <c r="O45" s="65" t="n"/>
    </row>
    <row r="46" ht="51.9" customHeight="1" s="26">
      <c r="A46" s="65" t="n"/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6" t="n"/>
      <c r="N46" s="66" t="n"/>
      <c r="O46" s="65" t="n"/>
    </row>
    <row r="47" ht="51.9" customHeight="1" s="26">
      <c r="A47" s="65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6" t="n"/>
      <c r="N47" s="66" t="n"/>
      <c r="O47" s="65" t="n"/>
    </row>
    <row r="48" ht="67.8" customHeight="1" s="26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6" t="n"/>
      <c r="N48" s="66" t="n"/>
      <c r="O48" s="65" t="n"/>
    </row>
    <row r="49" ht="67.8" customHeight="1" s="26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6" t="n"/>
      <c r="N49" s="66" t="n"/>
      <c r="O49" s="65" t="n"/>
    </row>
    <row r="50" ht="51.9" customHeight="1" s="26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6" t="n"/>
      <c r="N50" s="66" t="n"/>
      <c r="O50" s="65" t="n"/>
    </row>
    <row r="51" ht="51.9" customHeight="1" s="26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6" t="n"/>
      <c r="N51" s="66" t="n"/>
      <c r="O51" s="65" t="n"/>
    </row>
    <row r="52" ht="51.9" customHeight="1" s="26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6" t="n"/>
      <c r="N52" s="66" t="n"/>
      <c r="O52" s="65" t="n"/>
    </row>
    <row r="53" ht="83.8" customHeight="1" s="26">
      <c r="A53" s="65" t="n"/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6" t="n"/>
      <c r="N53" s="66" t="n"/>
      <c r="O53" s="65" t="n"/>
    </row>
    <row r="54" ht="83.8" customHeight="1" s="26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6" t="n"/>
      <c r="N54" s="66" t="n"/>
      <c r="O54" s="65" t="n"/>
    </row>
    <row r="55" ht="67.8" customHeight="1" s="26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6" t="n"/>
      <c r="N55" s="66" t="n"/>
      <c r="O55" s="65" t="n"/>
    </row>
    <row r="56" ht="51.9" customHeight="1" s="2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6" t="n"/>
      <c r="N56" s="66" t="n"/>
      <c r="O56" s="65" t="n"/>
    </row>
    <row r="57" ht="67.8" customHeight="1" s="26">
      <c r="A57" s="65" t="n"/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6" t="n"/>
      <c r="N57" s="66" t="n"/>
      <c r="O57" s="65" t="n"/>
    </row>
    <row r="58" ht="51.9" customHeight="1" s="26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6" t="n"/>
      <c r="N58" s="66" t="n"/>
      <c r="O58" s="65" t="n"/>
    </row>
    <row r="59" ht="51.9" customHeight="1" s="26">
      <c r="A59" s="65" t="n"/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6" t="n"/>
      <c r="N59" s="66" t="n"/>
      <c r="O59" s="65" t="n"/>
    </row>
    <row r="60" ht="51.9" customHeight="1" s="26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6" t="n"/>
      <c r="N60" s="66" t="n"/>
      <c r="O60" s="65" t="n"/>
    </row>
    <row r="61" ht="51.9" customHeight="1" s="26">
      <c r="A61" s="65" t="n"/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6" t="n"/>
      <c r="N61" s="66" t="n"/>
      <c r="O61" s="65" t="n"/>
    </row>
    <row r="62" ht="51.9" customHeight="1" s="26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6" t="n"/>
      <c r="N62" s="66" t="n"/>
      <c r="O62" s="65" t="n"/>
    </row>
    <row r="63" ht="51.9" customHeight="1" s="26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6" t="n"/>
      <c r="N63" s="66" t="n"/>
      <c r="O63" s="65" t="n"/>
    </row>
    <row r="64" ht="51.9" customHeight="1" s="26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6" t="n"/>
      <c r="N64" s="66" t="n"/>
      <c r="O64" s="65" t="n"/>
    </row>
    <row r="65" ht="67.8" customHeight="1" s="26">
      <c r="A65" s="65" t="n"/>
      <c r="B65" s="65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6" t="n"/>
      <c r="N65" s="66" t="n"/>
      <c r="O65" s="65" t="n"/>
    </row>
    <row r="66" ht="67.8" customHeight="1" s="26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6" t="n"/>
      <c r="N66" s="66" t="n"/>
      <c r="O66" s="65" t="n"/>
    </row>
    <row r="67" ht="51.9" customHeight="1" s="26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6" t="n"/>
      <c r="N67" s="66" t="n"/>
      <c r="O67" s="65" t="n"/>
    </row>
    <row r="68" ht="51.9" customHeight="1" s="26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6" t="n"/>
      <c r="N68" s="66" t="n"/>
      <c r="O68" s="65" t="n"/>
    </row>
    <row r="69" ht="67.8" customHeight="1" s="26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6" t="n"/>
      <c r="N69" s="66" t="n"/>
      <c r="O69" s="65" t="n"/>
    </row>
    <row r="70" ht="51.9" customHeight="1" s="26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6" t="n"/>
      <c r="N70" s="66" t="n"/>
      <c r="O70" s="65" t="n"/>
    </row>
    <row r="71" ht="51.9" customHeight="1" s="26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6" t="n"/>
      <c r="N71" s="66" t="n"/>
      <c r="O71" s="65" t="n"/>
    </row>
    <row r="72" ht="51.9" customHeight="1" s="26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6" t="n"/>
      <c r="N72" s="66" t="n"/>
      <c r="O72" s="65" t="n"/>
    </row>
    <row r="73" ht="51.9" customHeight="1" s="26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6" t="n"/>
      <c r="N73" s="66" t="n"/>
      <c r="O73" s="65" t="n"/>
    </row>
    <row r="74" ht="51.9" customHeight="1" s="26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6" t="n"/>
      <c r="N74" s="66" t="n"/>
      <c r="O74" s="65" t="n"/>
    </row>
    <row r="75" ht="51.9" customHeight="1" s="26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6" t="n"/>
      <c r="N75" s="66" t="n"/>
      <c r="O75" s="65" t="n"/>
    </row>
    <row r="76" ht="51.9" customHeight="1" s="2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6" t="n"/>
      <c r="N76" s="66" t="n"/>
      <c r="O76" s="65" t="n"/>
    </row>
    <row r="77" ht="99.7" customHeight="1" s="26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6" t="n"/>
      <c r="N77" s="66" t="n"/>
      <c r="O77" s="65" t="n"/>
    </row>
    <row r="78" ht="67.8" customHeight="1" s="26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6" t="n"/>
      <c r="N78" s="66" t="n"/>
      <c r="O78" s="65" t="n"/>
    </row>
    <row r="79" ht="67.8" customHeight="1" s="26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6" t="n"/>
      <c r="N79" s="66" t="n"/>
      <c r="O79" s="65" t="n"/>
    </row>
    <row r="80" ht="67.8" customHeight="1" s="26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6" t="n"/>
      <c r="N80" s="66" t="n"/>
      <c r="O80" s="65" t="n"/>
    </row>
    <row r="81" ht="83.8" customHeight="1" s="26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6" t="n"/>
      <c r="N81" s="66" t="n"/>
      <c r="O81" s="65" t="n"/>
    </row>
    <row r="82" ht="51.9" customHeight="1" s="26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6" t="n"/>
      <c r="N82" s="66" t="n"/>
      <c r="O82" s="65" t="n"/>
    </row>
    <row r="83" ht="51.9" customHeight="1" s="26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6" t="n"/>
      <c r="N83" s="66" t="n"/>
      <c r="O83" s="65" t="n"/>
    </row>
    <row r="84" ht="51.9" customHeight="1" s="26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6" t="n"/>
      <c r="N84" s="66" t="n"/>
      <c r="O84" s="65" t="n"/>
    </row>
    <row r="85" ht="51.9" customHeight="1" s="26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6" t="n"/>
      <c r="N85" s="66" t="n"/>
      <c r="O85" s="65" t="n"/>
    </row>
    <row r="86" ht="51.9" customHeight="1" s="2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6" t="n"/>
      <c r="N86" s="66" t="n"/>
      <c r="O86" s="65" t="n"/>
    </row>
    <row r="87" ht="51.9" customHeight="1" s="26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6" t="n"/>
      <c r="N87" s="66" t="n"/>
      <c r="O87" s="65" t="n"/>
    </row>
    <row r="88" s="26">
      <c r="A88" s="6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8" t="n"/>
      <c r="N88" s="68" t="n"/>
      <c r="O88" s="67" t="n"/>
    </row>
    <row r="89" s="26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8" t="n"/>
      <c r="N89" s="68" t="n"/>
      <c r="O89" s="67" t="n"/>
    </row>
    <row r="90" s="26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8" t="n"/>
      <c r="N90" s="68" t="n"/>
      <c r="O90" s="67" t="n"/>
    </row>
    <row r="91" s="26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8" t="n"/>
      <c r="N91" s="68" t="n"/>
      <c r="O91" s="67" t="n"/>
    </row>
    <row r="92" s="26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8" t="n"/>
      <c r="N92" s="68" t="n"/>
      <c r="O92" s="67" t="n"/>
    </row>
    <row r="93" s="26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8" t="n"/>
      <c r="N93" s="68" t="n"/>
      <c r="O93" s="67" t="n"/>
    </row>
    <row r="94" s="26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8" t="n"/>
      <c r="N94" s="68" t="n"/>
      <c r="O94" s="67" t="n"/>
    </row>
    <row r="95" s="26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8" t="n"/>
      <c r="N95" s="68" t="n"/>
      <c r="O95" s="67" t="n"/>
    </row>
    <row r="96" s="2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8" t="n"/>
      <c r="N96" s="68" t="n"/>
      <c r="O96" s="67" t="n"/>
    </row>
    <row r="97" s="26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8" t="n"/>
      <c r="N97" s="68" t="n"/>
      <c r="O97" s="67" t="n"/>
    </row>
    <row r="98" s="26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8" t="n"/>
      <c r="N98" s="68" t="n"/>
      <c r="O98" s="67" t="n"/>
    </row>
    <row r="99" s="26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8" t="n"/>
      <c r="N99" s="68" t="n"/>
      <c r="O99" s="67" t="n"/>
    </row>
    <row r="100" s="26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8" t="n"/>
      <c r="N100" s="68" t="n"/>
      <c r="O100" s="67" t="n"/>
    </row>
    <row r="101" s="26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8" t="n"/>
      <c r="N101" s="68" t="n"/>
      <c r="O101" s="67" t="n"/>
    </row>
    <row r="102" s="26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8" t="n"/>
      <c r="N102" s="68" t="n"/>
      <c r="O102" s="67" t="n"/>
    </row>
    <row r="103" s="26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8" t="n"/>
      <c r="N103" s="68" t="n"/>
      <c r="O103" s="67" t="n"/>
    </row>
    <row r="104" s="26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8" t="n"/>
      <c r="N104" s="68" t="n"/>
      <c r="O104" s="67" t="n"/>
    </row>
    <row r="105" s="26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8" t="n"/>
      <c r="N105" s="68" t="n"/>
      <c r="O105" s="67" t="n"/>
    </row>
    <row r="106" s="2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8" t="n"/>
      <c r="N106" s="68" t="n"/>
      <c r="O106" s="67" t="n"/>
    </row>
    <row r="107" s="26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8" t="n"/>
      <c r="N107" s="68" t="n"/>
      <c r="O107" s="67" t="n"/>
    </row>
    <row r="108" s="26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8" t="n"/>
      <c r="N108" s="68" t="n"/>
      <c r="O108" s="67" t="n"/>
    </row>
    <row r="109" s="26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8" t="n"/>
      <c r="N109" s="68" t="n"/>
      <c r="O109" s="67" t="n"/>
    </row>
    <row r="110" s="26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8" t="n"/>
      <c r="N110" s="68" t="n"/>
      <c r="O110" s="67" t="n"/>
    </row>
    <row r="111" s="26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8" t="n"/>
      <c r="N111" s="68" t="n"/>
      <c r="O111" s="67" t="n"/>
    </row>
    <row r="112" s="26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8" t="n"/>
      <c r="N112" s="68" t="n"/>
      <c r="O112" s="67" t="n"/>
    </row>
    <row r="113" s="26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8" t="n"/>
      <c r="N113" s="68" t="n"/>
      <c r="O113" s="67" t="n"/>
    </row>
    <row r="114" s="26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8" t="n"/>
      <c r="N114" s="68" t="n"/>
      <c r="O114" s="67" t="n"/>
    </row>
    <row r="115" s="26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8" t="n"/>
      <c r="N115" s="68" t="n"/>
      <c r="O115" s="67" t="n"/>
    </row>
    <row r="116" s="2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8" t="n"/>
      <c r="N116" s="68" t="n"/>
      <c r="O116" s="67" t="n"/>
    </row>
    <row r="117" s="26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8" t="n"/>
      <c r="N117" s="68" t="n"/>
      <c r="O117" s="67" t="n"/>
    </row>
    <row r="118" s="26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8" t="n"/>
      <c r="N118" s="68" t="n"/>
      <c r="O118" s="67" t="n"/>
    </row>
    <row r="119" s="26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8" t="n"/>
      <c r="N119" s="68" t="n"/>
      <c r="O119" s="67" t="n"/>
    </row>
    <row r="120" s="26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8" t="n"/>
      <c r="N120" s="68" t="n"/>
      <c r="O120" s="67" t="n"/>
    </row>
    <row r="121" s="26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8" t="n"/>
      <c r="N121" s="68" t="n"/>
      <c r="O121" s="67" t="n"/>
    </row>
    <row r="122" s="26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8" t="n"/>
      <c r="N122" s="68" t="n"/>
      <c r="O122" s="67" t="n"/>
    </row>
    <row r="123" s="26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8" t="n"/>
      <c r="N123" s="68" t="n"/>
      <c r="O123" s="67" t="n"/>
    </row>
    <row r="124" s="26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8" t="n"/>
      <c r="N124" s="68" t="n"/>
      <c r="O124" s="67" t="n"/>
    </row>
    <row r="125" s="26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8" t="n"/>
      <c r="N125" s="68" t="n"/>
      <c r="O125" s="67" t="n"/>
    </row>
    <row r="126" s="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8" t="n"/>
      <c r="N126" s="68" t="n"/>
      <c r="O126" s="67" t="n"/>
    </row>
    <row r="127" s="26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8" t="n"/>
      <c r="N127" s="68" t="n"/>
      <c r="O127" s="67" t="n"/>
    </row>
    <row r="505" ht="15" customHeight="1" s="26"/>
    <row r="506" ht="15" customHeight="1" s="26"/>
    <row r="507" ht="15" customHeight="1" s="26"/>
    <row r="508" ht="15" customHeight="1" s="26"/>
    <row r="509" ht="15" customHeight="1" s="26"/>
    <row r="510" ht="15" customHeight="1" s="26"/>
    <row r="511" ht="15" customHeight="1" s="26"/>
    <row r="512" ht="15" customHeight="1" s="26"/>
    <row r="513" ht="15" customHeight="1" s="26"/>
    <row r="514" ht="15" customHeight="1" s="26"/>
    <row r="515" ht="15" customHeight="1" s="26"/>
    <row r="516" ht="15" customHeight="1" s="26"/>
    <row r="517" ht="15" customHeight="1" s="26"/>
    <row r="518" ht="15" customHeight="1" s="26"/>
    <row r="519" ht="15" customHeight="1" s="26"/>
    <row r="520" ht="15" customHeight="1" s="26"/>
    <row r="521" ht="15" customHeight="1" s="26"/>
    <row r="522" ht="15" customHeight="1" s="26"/>
    <row r="523" ht="15" customHeight="1" s="26"/>
    <row r="524" ht="15" customHeight="1" s="26"/>
    <row r="525" ht="15" customHeight="1" s="26"/>
    <row r="526" ht="15" customHeight="1" s="26"/>
    <row r="527" ht="15" customHeight="1" s="26"/>
    <row r="528" ht="15" customHeight="1" s="26"/>
    <row r="529" ht="15" customHeight="1" s="26"/>
    <row r="530" ht="15" customHeight="1" s="26"/>
    <row r="531" ht="15" customHeight="1" s="26"/>
    <row r="532" ht="15" customHeight="1" s="26"/>
    <row r="533" ht="15" customHeight="1" s="26"/>
    <row r="534" ht="15" customHeight="1" s="26"/>
    <row r="535" ht="15" customHeight="1" s="26"/>
    <row r="536" ht="15" customHeight="1" s="26"/>
    <row r="537" ht="15" customHeight="1" s="26"/>
    <row r="538" ht="15" customHeight="1" s="26"/>
    <row r="539" ht="15" customHeight="1" s="26"/>
    <row r="540" ht="15" customHeight="1" s="26"/>
    <row r="541" ht="15" customHeight="1" s="26"/>
  </sheetData>
  <conditionalFormatting sqref="M2:M4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"Adjuntada"</formula>
    </cfRule>
    <cfRule type="cellIs" rank="0" priority="4" equalAverage="0" operator="equal" aboveAverage="0" dxfId="2" text="" percent="0" bottom="0">
      <formula>"No aplica"</formula>
    </cfRule>
  </conditionalFormatting>
  <conditionalFormatting sqref="N2:N400">
    <cfRule type="cellIs" rank="0" priority="5" equalAverage="0" operator="equal" aboveAverage="0" dxfId="3" text="" percent="0" bottom="0">
      <formula>"Fallido"</formula>
    </cfRule>
    <cfRule type="cellIs" rank="0" priority="6" equalAverage="0" operator="equal" aboveAverage="0" dxfId="4" text="" percent="0" bottom="0">
      <formula>"Bloqueado"</formula>
    </cfRule>
    <cfRule type="cellIs" rank="0" priority="7" equalAverage="0" operator="equal" aboveAverage="0" dxfId="1" text="" percent="0" bottom="0">
      <formula>"Aprobado"</formula>
    </cfRule>
    <cfRule type="cellIs" rank="0" priority="8" equalAverage="0" operator="equal" aboveAverage="0" dxfId="5" text="" percent="0" bottom="0">
      <formula>"Informativo"</formula>
    </cfRule>
  </conditionalFormatting>
  <dataValidations count="3">
    <dataValidation sqref="D2:D400" showDropDown="0" showInputMessage="0" showErrorMessage="0" allowBlank="1" type="list">
      <formula1>"Captura,Captura + respuesta API,Fila de informe,Informe HTML,Log,Video,Video + PDF,PDF"</formula1>
    </dataValidation>
    <dataValidation sqref="M2:M400" showDropDown="0" showInputMessage="0" showErrorMessage="0" allowBlank="1" type="list">
      <formula1>"Pendiente,Adjuntada,No aplica"</formula1>
    </dataValidation>
    <dataValidation sqref="N2:N400" showDropDown="0" showInputMessage="0" showErrorMessage="0" allowBlank="1" type="list">
      <formula1>"Aprobado,Fallido,Bloqueado,Informativo"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16" customWidth="1" style="25" min="2" max="3"/>
  </cols>
  <sheetData>
    <row r="1" ht="21" customHeight="1" s="26">
      <c r="A1" s="69" t="inlineStr">
        <is>
          <t>Resumen de evidencias</t>
        </is>
      </c>
      <c r="B1" s="53" t="n"/>
      <c r="C1" s="53" t="n"/>
    </row>
    <row r="2" s="26">
      <c r="A2" s="53" t="n"/>
      <c r="B2" s="53" t="n"/>
      <c r="C2" s="53" t="n"/>
    </row>
    <row r="3" ht="18.5" customHeight="1" s="26">
      <c r="A3" s="70" t="inlineStr">
        <is>
          <t>Se calcula solo. No escribir en esta hoja.</t>
        </is>
      </c>
      <c r="B3" s="53" t="n"/>
      <c r="C3" s="53" t="n"/>
    </row>
    <row r="4" s="26">
      <c r="A4" s="53" t="n"/>
      <c r="B4" s="53" t="n"/>
      <c r="C4" s="53" t="n"/>
    </row>
    <row r="5" ht="18.5" customHeight="1" s="26">
      <c r="A5" s="71" t="inlineStr">
        <is>
          <t>Indicador</t>
        </is>
      </c>
      <c r="B5" s="71" t="inlineStr">
        <is>
          <t>Cantidad</t>
        </is>
      </c>
      <c r="C5" s="71" t="inlineStr">
        <is>
          <t>% del total</t>
        </is>
      </c>
    </row>
    <row r="6" ht="18.5" customHeight="1" s="26">
      <c r="A6" s="72" t="inlineStr">
        <is>
          <t>Evidencias registradas</t>
        </is>
      </c>
      <c r="B6" s="72">
        <f>COUNTA(Registro!A2:A400)</f>
        <v/>
      </c>
      <c r="C6" s="73" t="n"/>
    </row>
    <row r="7" ht="18.5" customHeight="1" s="26">
      <c r="A7" s="72" t="inlineStr">
        <is>
          <t>Adjuntadas</t>
        </is>
      </c>
      <c r="B7" s="72">
        <f>COUNTIF(Registro!M2:K400,"Adjuntada")</f>
        <v/>
      </c>
      <c r="C7" s="74">
        <f>IF(B6=0,0,B7/B6)</f>
        <v/>
      </c>
    </row>
    <row r="8" ht="18.5" customHeight="1" s="26">
      <c r="A8" s="72" t="inlineStr">
        <is>
          <t>Pendientes</t>
        </is>
      </c>
      <c r="B8" s="72">
        <f>COUNTIF(Registro!M2:K400,"Pendiente")</f>
        <v/>
      </c>
      <c r="C8" s="74">
        <f>IF(B6=0,0,B8/B6)</f>
        <v/>
      </c>
    </row>
    <row r="9" ht="18.5" customHeight="1" s="26">
      <c r="A9" s="72" t="inlineStr">
        <is>
          <t>No aplica</t>
        </is>
      </c>
      <c r="B9" s="72">
        <f>COUNTIF(Registro!M2:K400,"No aplica")</f>
        <v/>
      </c>
      <c r="C9" s="74">
        <f>IF(B6=0,0,B9/B6)</f>
        <v/>
      </c>
    </row>
    <row r="10" s="26">
      <c r="A10" s="53" t="n"/>
      <c r="B10" s="53" t="n"/>
      <c r="C10" s="53" t="n"/>
    </row>
    <row r="11" ht="21" customHeight="1" s="26">
      <c r="A11" s="69" t="inlineStr">
        <is>
          <t>Resultado de los casos</t>
        </is>
      </c>
      <c r="B11" s="53" t="n"/>
      <c r="C11" s="53" t="n"/>
    </row>
    <row r="12" ht="18.5" customHeight="1" s="26">
      <c r="A12" s="71" t="inlineStr">
        <is>
          <t>Indicador</t>
        </is>
      </c>
      <c r="B12" s="71" t="inlineStr">
        <is>
          <t>Cantidad</t>
        </is>
      </c>
      <c r="C12" s="71" t="inlineStr">
        <is>
          <t>% del total</t>
        </is>
      </c>
    </row>
    <row r="13" ht="18.5" customHeight="1" s="26">
      <c r="A13" s="72" t="inlineStr">
        <is>
          <t>Evidencias de casos aprobados</t>
        </is>
      </c>
      <c r="B13" s="72">
        <f>COUNTIF(Registro!N2:L400,"Aprobado")</f>
        <v/>
      </c>
      <c r="C13" s="74">
        <f>IF(B6=0,0,B13/B6)</f>
        <v/>
      </c>
    </row>
    <row r="14" ht="18.5" customHeight="1" s="26">
      <c r="A14" s="72" t="inlineStr">
        <is>
          <t>Evidencias de casos fallidos</t>
        </is>
      </c>
      <c r="B14" s="72">
        <f>COUNTIF(Registro!N2:L400,"Fallido")</f>
        <v/>
      </c>
      <c r="C14" s="74">
        <f>IF(B6=0,0,B14/B6)</f>
        <v/>
      </c>
    </row>
    <row r="15" ht="18.5" customHeight="1" s="26">
      <c r="A15" s="72" t="inlineStr">
        <is>
          <t>Evidencias de casos bloqueados</t>
        </is>
      </c>
      <c r="B15" s="72">
        <f>COUNTIF(Registro!N2:L400,"Bloqueado")</f>
        <v/>
      </c>
      <c r="C15" s="74">
        <f>IF(B6=0,0,B15/B6)</f>
        <v/>
      </c>
    </row>
    <row r="16" ht="18.5" customHeight="1" s="26">
      <c r="A16" s="72" t="inlineStr">
        <is>
          <t>Evidencias de pruebas informativas</t>
        </is>
      </c>
      <c r="B16" s="72">
        <f>COUNTIF(Registro!N2:L400,"Informativo")</f>
        <v/>
      </c>
      <c r="C16" s="74">
        <f>IF(B6=0,0,B16/B6)</f>
        <v/>
      </c>
    </row>
    <row r="17" ht="18.5" customHeight="1" s="26">
      <c r="A17" s="70" t="inlineStr">
        <is>
          <t>Para ver por qué falló una prueba: en Registro, filtra «Resultado del caso» = Fallido y lee «Por qué falló».</t>
        </is>
      </c>
      <c r="B17" s="53" t="n"/>
      <c r="C17" s="53" t="n"/>
    </row>
    <row r="18" s="26">
      <c r="A18" s="53" t="n"/>
      <c r="B18" s="53" t="n"/>
      <c r="C18" s="53" t="n"/>
    </row>
    <row r="19" ht="18.5" customHeight="1" s="26">
      <c r="A19" s="53" t="n"/>
      <c r="B19" s="53" t="n"/>
      <c r="C19" s="53" t="n"/>
    </row>
    <row r="20" s="26">
      <c r="A20" s="69" t="inlineStr">
        <is>
          <t>Evidencias por caso</t>
        </is>
      </c>
      <c r="B20" s="53" t="n"/>
      <c r="C20" s="53" t="n"/>
    </row>
    <row r="21" s="26">
      <c r="A21" s="71" t="inlineStr">
        <is>
          <t>Indicador</t>
        </is>
      </c>
      <c r="B21" s="71" t="inlineStr">
        <is>
          <t>Cantidad</t>
        </is>
      </c>
      <c r="C21" s="71" t="inlineStr">
        <is>
          <t>% del total</t>
        </is>
      </c>
    </row>
    <row r="22" s="26">
      <c r="A22" s="72" t="inlineStr">
        <is>
          <t>Casos con evidencia propia</t>
        </is>
      </c>
      <c r="B22" s="72">
        <f>SUMPRODUCT((LEN(Registro!A2:A400)=9)*(LEFT(Registro!A2:A400,6)="EV-CP-"))</f>
        <v/>
      </c>
      <c r="C22" s="75" t="n"/>
    </row>
    <row r="23" s="26">
      <c r="A23" s="72" t="inlineStr">
        <is>
          <t>Capturas de pantalla por caso</t>
        </is>
      </c>
      <c r="B23" s="72">
        <f>COUNTIFS(Registro!D2:D400,"Captura",Registro!A2:A400,"EV-CP*")</f>
        <v/>
      </c>
      <c r="C23" s="74">
        <f>IF(B6=0,0,B23/B6)</f>
        <v/>
      </c>
    </row>
    <row r="24" s="26">
      <c r="A24" s="72" t="inlineStr">
        <is>
          <t>Filas de informe pytest</t>
        </is>
      </c>
      <c r="B24" s="72">
        <f>COUNTIF(Registro!D2:D400,"Fila de informe")</f>
        <v/>
      </c>
      <c r="C24" s="74">
        <f>IF(B6=0,0,B24/B6)</f>
        <v/>
      </c>
    </row>
    <row r="25" s="26">
      <c r="A25" s="72" t="inlineStr">
        <is>
          <t>Informes de conjunto</t>
        </is>
      </c>
      <c r="B25" s="72">
        <f>COUNTIF(Registro!A2:A400,"EV-HU*")</f>
        <v/>
      </c>
      <c r="C25" s="74">
        <f>IF(B6=0,0,B25/B6)</f>
        <v/>
      </c>
    </row>
    <row r="26" s="26">
      <c r="A26" s="70" t="inlineStr">
        <is>
          <t>Un caso tiene evidencia propia cuando existe EV-CP-0xx con su mismo número.</t>
        </is>
      </c>
      <c r="B26" s="53" t="n"/>
      <c r="C26" s="53" t="n"/>
    </row>
    <row r="27" s="26">
      <c r="A27" s="53" t="n"/>
      <c r="B27" s="53" t="n"/>
      <c r="C27" s="53" t="n"/>
    </row>
    <row r="28" s="26">
      <c r="A28" s="76" t="inlineStr">
        <is>
          <t>Criterio de cierre: todo caso Aprobado o Fallido tiene su evidencia Adjuntada.</t>
        </is>
      </c>
      <c r="B28" s="79" t="n"/>
      <c r="C28" s="78" t="n"/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2026-10-26T22:04:25Z</dcterms:modified>
  <cp:lastModifiedBy>Desarrollo Ceneris</cp:lastModifiedBy>
  <cp:revision>0</cp:revision>
</cp:coreProperties>
</file>