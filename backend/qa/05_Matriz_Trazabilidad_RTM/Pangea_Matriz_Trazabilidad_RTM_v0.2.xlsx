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Historia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Fuente casos" sheetId="5" state="visible" r:id="rId5"/>
    <sheet xmlns:r="http://schemas.openxmlformats.org/officeDocument/2006/relationships" name="Fuente defecto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Calibri"/>
      <charset val="1"/>
      <family val="0"/>
      <b val="1"/>
      <color rgb="FFC00000"/>
      <sz val="10"/>
    </font>
    <font>
      <name val="Segoe UI"/>
      <b val="1"/>
      <color rgb="00FFFFFF"/>
      <sz val="10"/>
    </font>
    <font>
      <i val="1"/>
      <color rgb="005F6870"/>
    </font>
    <font>
      <name val="Segoe UI"/>
      <charset val="1"/>
      <family val="0"/>
      <b val="1"/>
      <color rgb="004C6441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4C6441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10"/>
    </font>
    <font>
      <name val="Segoe UI"/>
      <charset val="1"/>
      <family val="0"/>
      <b val="1"/>
      <color rgb="004C6441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b val="1"/>
      <color rgb="00B03A2E"/>
      <sz val="10"/>
    </font>
    <font>
      <name val="Segoe UI"/>
      <i val="1"/>
      <color rgb="005F6870"/>
    </font>
    <font>
      <name val="Segoe UI"/>
      <charset val="1"/>
      <family val="2"/>
      <color rgb="002A2F33"/>
      <sz val="11"/>
    </font>
  </fonts>
  <fills count="18">
    <fill>
      <patternFill/>
    </fill>
    <fill>
      <patternFill patternType="gray125"/>
    </fill>
    <fill>
      <patternFill patternType="solid">
        <fgColor rgb="FFDCE4F2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CE4F2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004C6441"/>
      </patternFill>
    </fill>
    <fill>
      <patternFill patternType="solid">
        <fgColor rgb="00E8EEE3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E4E7EA"/>
      </patternFill>
    </fill>
    <fill>
      <patternFill patternType="solid">
        <fgColor rgb="00FDF6E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pivotButton="0" quotePrefix="0" xfId="0"/>
    <xf numFmtId="0" fontId="18" fillId="0" borderId="0" applyAlignment="1" pivotButton="0" quotePrefix="0" xfId="0">
      <alignment horizontal="general" vertical="bottom"/>
    </xf>
    <xf numFmtId="0" fontId="19" fillId="11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/>
    </xf>
    <xf numFmtId="0" fontId="19" fillId="12" borderId="2" applyAlignment="1" pivotButton="0" quotePrefix="0" xfId="0">
      <alignment horizontal="general" vertical="bottom"/>
    </xf>
    <xf numFmtId="0" fontId="19" fillId="13" borderId="2" applyAlignment="1" pivotButton="0" quotePrefix="0" xfId="0">
      <alignment horizontal="general" vertical="bottom"/>
    </xf>
    <xf numFmtId="0" fontId="19" fillId="14" borderId="2" applyAlignment="1" pivotButton="0" quotePrefix="0" xfId="0">
      <alignment horizontal="general" vertical="bottom"/>
    </xf>
    <xf numFmtId="0" fontId="19" fillId="15" borderId="2" applyAlignment="1" pivotButton="0" quotePrefix="0" xfId="0">
      <alignment horizontal="general" vertical="bottom"/>
    </xf>
    <xf numFmtId="0" fontId="19" fillId="16" borderId="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top" wrapText="1"/>
    </xf>
    <xf numFmtId="0" fontId="23" fillId="10" borderId="2" applyAlignment="1" pivotButton="0" quotePrefix="0" xfId="0">
      <alignment horizontal="center" vertical="top" wrapText="1"/>
    </xf>
    <xf numFmtId="0" fontId="20" fillId="13" borderId="2" applyAlignment="1" pivotButton="0" quotePrefix="0" xfId="0">
      <alignment horizontal="general" vertical="top" wrapText="1"/>
    </xf>
    <xf numFmtId="0" fontId="20" fillId="17" borderId="2" applyAlignment="1" pivotButton="0" quotePrefix="0" xfId="0">
      <alignment horizontal="general" vertical="top" wrapText="1"/>
    </xf>
    <xf numFmtId="0" fontId="24" fillId="17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13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center" vertical="top" wrapText="1"/>
    </xf>
    <xf numFmtId="0" fontId="20" fillId="14" borderId="2" applyAlignment="1" pivotButton="0" quotePrefix="0" xfId="0">
      <alignment horizontal="general" vertical="top" wrapText="1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10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bottom"/>
    </xf>
    <xf numFmtId="164" fontId="20" fillId="0" borderId="2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4" fillId="10" borderId="2" pivotButton="0" quotePrefix="0" xfId="0"/>
    <xf numFmtId="0" fontId="28" fillId="0" borderId="0" pivotButton="0" quotePrefix="0" xfId="0"/>
    <xf numFmtId="0" fontId="29" fillId="0" borderId="0" pivotButton="0" quotePrefix="0" xfId="0"/>
    <xf numFmtId="0" fontId="14" fillId="10" borderId="2" applyAlignment="1" pivotButton="0" quotePrefix="0" xfId="0">
      <alignment vertical="top"/>
    </xf>
    <xf numFmtId="0" fontId="28" fillId="0" borderId="0" applyAlignment="1" pivotButton="0" quotePrefix="0" xfId="0">
      <alignment vertical="top"/>
    </xf>
    <xf numFmtId="0" fontId="29" fillId="0" borderId="0" applyAlignment="1" pivotButton="0" quotePrefix="0" xfId="0">
      <alignment vertical="top"/>
    </xf>
    <xf numFmtId="0" fontId="16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general" vertical="top"/>
    </xf>
    <xf numFmtId="0" fontId="19" fillId="11" borderId="2" applyAlignment="1" pivotButton="0" quotePrefix="0" xfId="0">
      <alignment horizontal="general" vertical="top"/>
    </xf>
    <xf numFmtId="0" fontId="21" fillId="0" borderId="0" applyAlignment="1" pivotButton="0" quotePrefix="0" xfId="0">
      <alignment horizontal="general" vertical="top"/>
    </xf>
    <xf numFmtId="0" fontId="19" fillId="0" borderId="2" applyAlignment="1" pivotButton="0" quotePrefix="0" xfId="0">
      <alignment horizontal="general" vertical="top"/>
    </xf>
    <xf numFmtId="0" fontId="19" fillId="12" borderId="2" applyAlignment="1" pivotButton="0" quotePrefix="0" xfId="0">
      <alignment horizontal="general" vertical="top"/>
    </xf>
    <xf numFmtId="0" fontId="19" fillId="13" borderId="2" applyAlignment="1" pivotButton="0" quotePrefix="0" xfId="0">
      <alignment horizontal="general" vertical="top"/>
    </xf>
    <xf numFmtId="0" fontId="19" fillId="14" borderId="2" applyAlignment="1" pivotButton="0" quotePrefix="0" xfId="0">
      <alignment horizontal="general" vertical="top"/>
    </xf>
    <xf numFmtId="0" fontId="19" fillId="15" borderId="2" applyAlignment="1" pivotButton="0" quotePrefix="0" xfId="0">
      <alignment horizontal="general" vertical="top"/>
    </xf>
    <xf numFmtId="0" fontId="19" fillId="16" borderId="2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top"/>
    </xf>
    <xf numFmtId="0" fontId="26" fillId="0" borderId="0" applyAlignment="1" pivotButton="0" quotePrefix="0" xfId="0">
      <alignment horizontal="general" vertical="top"/>
    </xf>
    <xf numFmtId="0" fontId="23" fillId="10" borderId="2" applyAlignment="1" pivotButton="0" quotePrefix="0" xfId="0">
      <alignment horizontal="general" vertical="top"/>
    </xf>
    <xf numFmtId="0" fontId="20" fillId="0" borderId="2" applyAlignment="1" pivotButton="0" quotePrefix="0" xfId="0">
      <alignment horizontal="general" vertical="top"/>
    </xf>
    <xf numFmtId="164" fontId="20" fillId="0" borderId="2" applyAlignment="1" pivotButton="0" quotePrefix="0" xfId="0">
      <alignment horizontal="general" vertical="top"/>
    </xf>
    <xf numFmtId="0" fontId="27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4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B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95" customWidth="1" style="26" min="2" max="2"/>
  </cols>
  <sheetData>
    <row r="1" ht="23.25" customHeight="1" s="27">
      <c r="A1" s="87" t="inlineStr">
        <is>
          <t>Matriz de Trazabilidad (RTM)</t>
        </is>
      </c>
      <c r="B1" s="54" t="n"/>
    </row>
    <row r="2" ht="18.5" customHeight="1" s="27">
      <c r="A2" s="88" t="inlineStr">
        <is>
          <t>Pangea (tablero PP)</t>
        </is>
      </c>
      <c r="B2" s="54" t="n"/>
    </row>
    <row r="3" s="27">
      <c r="A3" s="54" t="n"/>
      <c r="B3" s="54" t="n"/>
    </row>
    <row r="4" ht="18.5" customHeight="1" s="27">
      <c r="A4" s="89" t="inlineStr">
        <is>
          <t>Entregable</t>
        </is>
      </c>
      <c r="B4" s="57" t="inlineStr">
        <is>
          <t>Matriz de Responsabilidades de Documentación - rol Aseguramiento de Calidad (QA)</t>
        </is>
      </c>
    </row>
    <row r="5" ht="25.5" customHeight="1" s="27">
      <c r="A5" s="89" t="inlineStr">
        <is>
          <t>Documentos que cubre</t>
        </is>
      </c>
      <c r="B5" s="57" t="inlineStr">
        <is>
          <t>Cada requisito de HT-06 y de HU-18 del tablero PP contra la historia que lo implementa, los casos que lo verifican, su resultado y sus defectos.</t>
        </is>
      </c>
    </row>
    <row r="6" ht="18.5" customHeight="1" s="27">
      <c r="A6" s="89" t="inlineStr">
        <is>
          <t>Responsable</t>
        </is>
      </c>
      <c r="B6" s="57" t="inlineStr">
        <is>
          <t>Elliot (JS en Jira), QA / Tester</t>
        </is>
      </c>
    </row>
    <row r="7" ht="18.5" customHeight="1" s="27">
      <c r="A7" s="89" t="inlineStr">
        <is>
          <t>Versión</t>
        </is>
      </c>
      <c r="B7" s="57" t="inlineStr">
        <is>
          <t>0.2</t>
        </is>
      </c>
    </row>
    <row r="8" ht="33" customHeight="1" s="27">
      <c r="A8" s="89" t="inlineStr">
        <is>
          <t>Fecha de elaboración</t>
        </is>
      </c>
      <c r="B8" s="57" t="inlineStr">
        <is>
          <t>28/10/2026 · Ronda 1 de HT-06 y ronda 1 de HU-18 (un dia)</t>
        </is>
      </c>
    </row>
    <row r="9" ht="18.5" customHeight="1" s="27">
      <c r="A9" s="89" t="inlineStr">
        <is>
          <t>Estado</t>
        </is>
      </c>
      <c r="B9" s="57" t="inlineStr">
        <is>
          <t>Borrador (X)     En revisión ( )     Aprobado ( )</t>
        </is>
      </c>
    </row>
    <row r="10" ht="18.5" customHeight="1" s="27">
      <c r="A10" s="89" t="inlineStr">
        <is>
          <t>Aprobado por</t>
        </is>
      </c>
      <c r="B10" s="57" t="inlineStr">
        <is>
          <t>Scrum Master  /  Product Owner de Pangea</t>
        </is>
      </c>
    </row>
    <row r="11" s="27">
      <c r="A11" s="54" t="n"/>
      <c r="B11" s="54" t="n"/>
    </row>
    <row r="12" ht="18.5" customHeight="1" s="27">
      <c r="A12" s="90" t="inlineStr">
        <is>
          <t>Cómo se usa este libro</t>
        </is>
      </c>
      <c r="B12" s="54" t="n"/>
    </row>
    <row r="13" s="27">
      <c r="A13" s="54" t="n"/>
      <c r="B13" s="54" t="n"/>
    </row>
    <row r="14" ht="33" customHeight="1" s="27">
      <c r="A14" s="91" t="inlineStr">
        <is>
          <t>RTM</t>
        </is>
      </c>
      <c r="B14" s="57" t="inlineStr">
        <is>
          <t>Una fila por requisito. Un requisito sin casos es un hueco de cobertura, no un requisito aprobado. N casos y Cobertura se calculan solos.</t>
        </is>
      </c>
    </row>
    <row r="15" ht="18.5" customHeight="1" s="27">
      <c r="A15" s="91" t="inlineStr">
        <is>
          <t>Historias</t>
        </is>
      </c>
      <c r="B15" s="57" t="inlineStr">
        <is>
          <t>Cruce historia → subtareas del tablero → requisitos. Sirve para el informe de cada sprint.</t>
        </is>
      </c>
    </row>
    <row r="16" ht="18.5" customHeight="1" s="27">
      <c r="A16" s="91" t="inlineStr">
        <is>
          <t>Resumen</t>
        </is>
      </c>
      <c r="B16" s="57" t="inlineStr">
        <is>
          <t>Se calcula solo a partir de la hoja RTM. No escribir en ella.</t>
        </is>
      </c>
    </row>
    <row r="17" ht="62" customHeight="1" s="27">
      <c r="A17" s="91" t="inlineStr">
        <is>
          <t>Mantenimiento</t>
        </is>
      </c>
      <c r="B17" s="57" t="inlineStr">
        <is>
          <t>Se actualiza cada vez que cambia algo: un caso se ejecuta o se reprueba (Estado de ejecución), un defecto cambia de estado (Observación), una historia cambia en el tablero (hoja Historias) o se agrega un requisito. El estado de un requisito solo cambia con una ejecución de QA, nunca por un commit.</t>
        </is>
      </c>
    </row>
    <row r="18" ht="33" customHeight="1" s="27">
      <c r="A18" s="91" t="inlineStr">
        <is>
          <t>Casos de Prueba</t>
        </is>
      </c>
      <c r="B18" s="57" t="inlineStr">
        <is>
          <t>Van en archivo aparte: Casos_de_Prueba.xlsx (carpeta 02). Ahí está el detalle de cada CP que se cita en «Casos que lo cubren».</t>
        </is>
      </c>
    </row>
    <row r="19" ht="33" customHeight="1" s="27">
      <c r="A19" s="91" t="inlineStr">
        <is>
          <t>Fuente casos y Fuente defectos</t>
        </is>
      </c>
      <c r="B19" s="57" t="inlineStr">
        <is>
          <t>Copia del ID, la historia y el estado de cada caso y defecto. La hoja Historias cuenta desde ahí. Se actualiza con sincronizar_rtm.py; no se edita a mano.</t>
        </is>
      </c>
    </row>
    <row r="20" ht="18.5" customHeight="1" s="27">
      <c r="A20" s="90" t="inlineStr">
        <is>
          <t>Leyenda de Estado de ejecución</t>
        </is>
      </c>
      <c r="B20" s="54" t="n"/>
    </row>
    <row r="21" s="27">
      <c r="A21" s="54" t="n"/>
      <c r="B21" s="54" t="n"/>
    </row>
    <row r="22" ht="18.5" customHeight="1" s="27">
      <c r="A22" s="92" t="inlineStr">
        <is>
          <t>Pendiente</t>
        </is>
      </c>
      <c r="B22" s="57" t="inlineStr">
        <is>
          <t>Todavía no se ejecuta.</t>
        </is>
      </c>
    </row>
    <row r="23" ht="18.5" customHeight="1" s="27">
      <c r="A23" s="93" t="inlineStr">
        <is>
          <t>Aprobado</t>
        </is>
      </c>
      <c r="B23" s="57" t="inlineStr">
        <is>
          <t>El resultado obtenido coincide con el esperado.</t>
        </is>
      </c>
    </row>
    <row r="24" ht="18.5" customHeight="1" s="27">
      <c r="A24" s="94" t="inlineStr">
        <is>
          <t>Fallido</t>
        </is>
      </c>
      <c r="B24" s="57" t="inlineStr">
        <is>
          <t>No coincide. Debe existir un número de defecto (DEF-xx) en la columna Defectos.</t>
        </is>
      </c>
    </row>
    <row r="25" ht="18.5" customHeight="1" s="27">
      <c r="A25" s="95" t="inlineStr">
        <is>
          <t>Bloqueado</t>
        </is>
      </c>
      <c r="B25" s="57" t="inlineStr">
        <is>
          <t>No se pudo ejecutar por una causa externa: HU sin desarrollar, ambiente caído o dato no disponible.</t>
        </is>
      </c>
    </row>
    <row r="26" ht="18.5" customHeight="1" s="27">
      <c r="A26" s="96" t="inlineStr">
        <is>
          <t>No aplica</t>
        </is>
      </c>
      <c r="B26" s="57" t="inlineStr">
        <is>
          <t>La funcionalidad no está en esta versión.</t>
        </is>
      </c>
    </row>
    <row r="27" s="27">
      <c r="A27" s="54" t="n"/>
      <c r="B27" s="54" t="n"/>
    </row>
    <row r="28" ht="18.5" customHeight="1" s="27">
      <c r="A28" s="90" t="inlineStr">
        <is>
          <t>Estado de ejecución del requisito</t>
        </is>
      </c>
      <c r="B28" s="54" t="n"/>
    </row>
    <row r="29" s="27">
      <c r="A29" s="54" t="n"/>
      <c r="B29" s="54" t="n"/>
    </row>
    <row r="30" ht="18.5" customHeight="1" s="27">
      <c r="A30" s="91" t="inlineStr">
        <is>
          <t>Parcial (n/m)</t>
        </is>
      </c>
      <c r="B30" s="57" t="inlineStr">
        <is>
          <t>n de los m casos que lo cubren están aprobados.</t>
        </is>
      </c>
    </row>
    <row r="31" s="27">
      <c r="A31" s="54" t="n"/>
      <c r="B31" s="54" t="n"/>
    </row>
    <row r="32" ht="91" customHeight="1" s="27">
      <c r="A32" s="65" t="n"/>
    </row>
  </sheetData>
  <mergeCells count="1">
    <mergeCell ref="A32:B3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M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2" customWidth="1" style="26" min="1" max="1"/>
    <col width="60" customWidth="1" style="26" min="2" max="2"/>
    <col width="24" customWidth="1" style="26" min="3" max="3"/>
    <col width="13" customWidth="1" style="27" min="4" max="4"/>
    <col width="11" customWidth="1" style="26" min="5" max="5"/>
    <col width="10" customWidth="1" style="26" min="6" max="6"/>
    <col width="30" customWidth="1" style="26" min="7" max="7"/>
    <col width="13" customWidth="1" style="27" min="8" max="8"/>
    <col width="12" customWidth="1" style="26" min="9" max="9"/>
    <col width="16" customWidth="1" style="26" min="10" max="10"/>
    <col width="12" customWidth="1" style="26" min="11" max="11"/>
    <col width="40" customWidth="1" style="26" min="12" max="12"/>
    <col width="22" customWidth="1" style="26" min="13" max="13"/>
  </cols>
  <sheetData>
    <row r="1" ht="33" customHeight="1" s="27">
      <c r="A1" s="66" t="inlineStr">
        <is>
          <t>ID Requisito</t>
        </is>
      </c>
      <c r="B1" s="66" t="inlineStr">
        <is>
          <t>Requisito del cliente</t>
        </is>
      </c>
      <c r="C1" s="66" t="inlineStr">
        <is>
          <t>Origen</t>
        </is>
      </c>
      <c r="D1" s="66" t="inlineStr">
        <is>
          <t>Historia</t>
        </is>
      </c>
      <c r="E1" s="66" t="inlineStr">
        <is>
          <t>ID en backlog</t>
        </is>
      </c>
      <c r="F1" s="66" t="inlineStr">
        <is>
          <t>Prioridad</t>
        </is>
      </c>
      <c r="G1" s="66" t="inlineStr">
        <is>
          <t>Casos que lo cubren</t>
        </is>
      </c>
      <c r="H1" s="66" t="inlineStr">
        <is>
          <t>N casos</t>
        </is>
      </c>
      <c r="I1" s="66" t="inlineStr">
        <is>
          <t>Cobertura</t>
        </is>
      </c>
      <c r="J1" s="66" t="inlineStr">
        <is>
          <t>Estado de ejecución</t>
        </is>
      </c>
      <c r="K1" s="66" t="inlineStr">
        <is>
          <t>Defectos</t>
        </is>
      </c>
      <c r="L1" s="66" t="inlineStr">
        <is>
          <t>Observación</t>
        </is>
      </c>
      <c r="M1" s="66" t="inlineStr">
        <is>
          <t>Casos de regresión</t>
        </is>
      </c>
    </row>
    <row r="2" ht="33" customFormat="1" customHeight="1" s="41">
      <c r="A2" s="57" t="inlineStr">
        <is>
          <t>RQ-HT06-01</t>
        </is>
      </c>
      <c r="B2" s="57" t="inlineStr">
        <is>
          <t>Despliegue de la API, los workers y el receptor FTP/TCP por imagenes Docker en el Container Service, un contenedor por componente (CA1)</t>
        </is>
      </c>
      <c r="C2" s="57" t="inlineStr">
        <is>
          <t>HT-06 · criterio de aceptacion</t>
        </is>
      </c>
      <c r="D2" s="57" t="inlineStr">
        <is>
          <t>HT-06</t>
        </is>
      </c>
      <c r="E2" s="57" t="inlineStr">
        <is>
          <t>PP-125</t>
        </is>
      </c>
      <c r="F2" s="57" t="inlineStr">
        <is>
          <t>Alta</t>
        </is>
      </c>
      <c r="G2" s="57" t="inlineStr">
        <is>
          <t>CP-001, CP-002, CP-003, CP-004, CP-005</t>
        </is>
      </c>
      <c r="H2" s="57">
        <f>IF(TRIM(G2)="",IF(A2="","",0),LEN(G2)-LEN(SUBSTITUTE(G2,",",""))+1)</f>
        <v/>
      </c>
      <c r="I2" s="57">
        <f>IF(A2="","",IF(N(H2)=0,"Sin cubrir","Cubierto"))</f>
        <v/>
      </c>
      <c r="J2" s="67" t="inlineStr">
        <is>
          <t>Fallido</t>
        </is>
      </c>
      <c r="K2" s="68" t="inlineStr">
        <is>
          <t>DEF-03</t>
        </is>
      </c>
      <c r="L2" s="68" t="inlineStr">
        <is>
          <t>—</t>
        </is>
      </c>
      <c r="M2" s="68" t="inlineStr">
        <is>
          <t>RG-03, RG-04</t>
        </is>
      </c>
    </row>
    <row r="3" ht="33" customFormat="1" customHeight="1" s="41">
      <c r="A3" s="57" t="inlineStr">
        <is>
          <t>RQ-HT06-02</t>
        </is>
      </c>
      <c r="B3" s="57" t="inlineStr">
        <is>
          <t>PostgreSQL en modo privado, sin acceso desde internet (CA2)</t>
        </is>
      </c>
      <c r="C3" s="57" t="inlineStr">
        <is>
          <t>HT-06 · criterio de aceptacion</t>
        </is>
      </c>
      <c r="D3" s="57" t="inlineStr">
        <is>
          <t>HT-06</t>
        </is>
      </c>
      <c r="E3" s="57" t="inlineStr">
        <is>
          <t>PP-126</t>
        </is>
      </c>
      <c r="F3" s="57" t="inlineStr">
        <is>
          <t>Alta</t>
        </is>
      </c>
      <c r="G3" s="57" t="inlineStr">
        <is>
          <t>CP-006, CP-007, CP-008</t>
        </is>
      </c>
      <c r="H3" s="57">
        <f>IF(TRIM(G3)="",IF(A3="","",0),LEN(G3)-LEN(SUBSTITUTE(G3,",",""))+1)</f>
        <v/>
      </c>
      <c r="I3" s="57">
        <f>IF(A3="","",IF(N(H3)=0,"Sin cubrir","Cubierto"))</f>
        <v/>
      </c>
      <c r="J3" s="67" t="inlineStr">
        <is>
          <t>Fallido</t>
        </is>
      </c>
      <c r="K3" s="68" t="inlineStr">
        <is>
          <t>DEF-01</t>
        </is>
      </c>
      <c r="L3" s="68" t="inlineStr">
        <is>
          <t>—</t>
        </is>
      </c>
      <c r="M3" s="69" t="inlineStr">
        <is>
          <t>RG-01</t>
        </is>
      </c>
    </row>
    <row r="4" ht="33" customFormat="1" customHeight="1" s="41">
      <c r="A4" s="57" t="inlineStr">
        <is>
          <t>RQ-HT06-03</t>
        </is>
      </c>
      <c r="B4" s="57" t="inlineStr">
        <is>
          <t>Archivos .dat y exportaciones persistidos en Object Storage y vivos tras un redeploy (CA3)</t>
        </is>
      </c>
      <c r="C4" s="57" t="inlineStr">
        <is>
          <t>HT-06 · criterio de aceptacion</t>
        </is>
      </c>
      <c r="D4" s="57" t="inlineStr">
        <is>
          <t>HT-06</t>
        </is>
      </c>
      <c r="E4" s="57" t="inlineStr">
        <is>
          <t>PP-127</t>
        </is>
      </c>
      <c r="F4" s="57" t="inlineStr">
        <is>
          <t>Alta</t>
        </is>
      </c>
      <c r="G4" s="57" t="inlineStr">
        <is>
          <t>CP-009, CP-010, CP-011, CP-012, CP-013</t>
        </is>
      </c>
      <c r="H4" s="57">
        <f>IF(TRIM(G4)="",IF(A4="","",0),LEN(G4)-LEN(SUBSTITUTE(G4,",",""))+1)</f>
        <v/>
      </c>
      <c r="I4" s="57">
        <f>IF(A4="","",IF(N(H4)=0,"Sin cubrir","Cubierto"))</f>
        <v/>
      </c>
      <c r="J4" s="67" t="inlineStr">
        <is>
          <t>Parcial (1/5)</t>
        </is>
      </c>
      <c r="K4" s="68" t="inlineStr">
        <is>
          <t>—</t>
        </is>
      </c>
      <c r="L4" s="69" t="inlineStr">
        <is>
          <t>—</t>
        </is>
      </c>
      <c r="M4" s="68" t="inlineStr">
        <is>
          <t>—</t>
        </is>
      </c>
    </row>
    <row r="5" ht="33" customFormat="1" customHeight="1" s="41">
      <c r="A5" s="57" t="inlineStr">
        <is>
          <t>RQ-HT06-04</t>
        </is>
      </c>
      <c r="B5" s="57" t="inlineStr">
        <is>
          <t>Respaldo semanal de la BD a Object Storage, cifrado, con retencion de 12 meses (CA4)</t>
        </is>
      </c>
      <c r="C5" s="57" t="inlineStr">
        <is>
          <t>HT-06 · criterio de aceptacion</t>
        </is>
      </c>
      <c r="D5" s="57" t="inlineStr">
        <is>
          <t>HT-06</t>
        </is>
      </c>
      <c r="E5" s="57" t="inlineStr">
        <is>
          <t>PP-129</t>
        </is>
      </c>
      <c r="F5" s="57" t="inlineStr">
        <is>
          <t>Alta</t>
        </is>
      </c>
      <c r="G5" s="57" t="inlineStr">
        <is>
          <t>CP-014, CP-015, CP-016, CP-017</t>
        </is>
      </c>
      <c r="H5" s="57">
        <f>IF(TRIM(G5)="",IF(A5="","",0),LEN(G5)-LEN(SUBSTITUTE(G5,",",""))+1)</f>
        <v/>
      </c>
      <c r="I5" s="57">
        <f>IF(A5="","",IF(N(H5)=0,"Sin cubrir","Cubierto"))</f>
        <v/>
      </c>
      <c r="J5" s="67" t="inlineStr">
        <is>
          <t>Bloqueado</t>
        </is>
      </c>
      <c r="K5" s="68" t="inlineStr">
        <is>
          <t>—</t>
        </is>
      </c>
      <c r="L5" s="68" t="inlineStr">
        <is>
          <t>—</t>
        </is>
      </c>
      <c r="M5" s="68" t="inlineStr">
        <is>
          <t>—</t>
        </is>
      </c>
    </row>
    <row r="6" ht="33" customHeight="1" s="27">
      <c r="A6" s="57" t="inlineStr">
        <is>
          <t>RQ-HT06-05</t>
        </is>
      </c>
      <c r="B6" s="57" t="inlineStr">
        <is>
          <t>Cadena de conexion y credenciales por variables de entorno, sin aparecer en el codigo (CA5)</t>
        </is>
      </c>
      <c r="C6" s="57" t="inlineStr">
        <is>
          <t>HT-06 · criterio de aceptacion</t>
        </is>
      </c>
      <c r="D6" s="57" t="inlineStr">
        <is>
          <t>HT-06</t>
        </is>
      </c>
      <c r="E6" s="57" t="inlineStr">
        <is>
          <t>PP-128</t>
        </is>
      </c>
      <c r="F6" s="57" t="inlineStr">
        <is>
          <t>Alta</t>
        </is>
      </c>
      <c r="G6" s="57" t="inlineStr">
        <is>
          <t>CP-018, CP-019, CP-020, CP-021, CP-022, CP-023, CP-024</t>
        </is>
      </c>
      <c r="H6" s="57">
        <f>IF(TRIM(G6)="",IF(A6="","",0),LEN(G6)-LEN(SUBSTITUTE(G6,",",""))+1)</f>
        <v/>
      </c>
      <c r="I6" s="57">
        <f>IF(A6="","",IF(N(H6)=0,"Sin cubrir","Cubierto"))</f>
        <v/>
      </c>
      <c r="J6" s="67" t="inlineStr">
        <is>
          <t>Fallido</t>
        </is>
      </c>
      <c r="K6" s="68" t="inlineStr">
        <is>
          <t>DEF-02</t>
        </is>
      </c>
      <c r="L6" s="68" t="inlineStr">
        <is>
          <t>—</t>
        </is>
      </c>
      <c r="M6" s="69" t="inlineStr">
        <is>
          <t>RG-02</t>
        </is>
      </c>
    </row>
    <row r="7" ht="33" customHeight="1" s="27">
      <c r="A7" s="57" t="inlineStr">
        <is>
          <t>RQ-HT06-06</t>
        </is>
      </c>
      <c r="B7" s="57" t="inlineStr">
        <is>
          <t>Tres entornos separados: desarrollo, staging y produccion (procedimiento)</t>
        </is>
      </c>
      <c r="C7" s="57" t="inlineStr">
        <is>
          <t>HT-06 · criterio de aceptacion</t>
        </is>
      </c>
      <c r="D7" s="57" t="inlineStr">
        <is>
          <t>HT-06</t>
        </is>
      </c>
      <c r="E7" s="57" t="inlineStr">
        <is>
          <t>—</t>
        </is>
      </c>
      <c r="F7" s="57" t="inlineStr">
        <is>
          <t>Media</t>
        </is>
      </c>
      <c r="G7" s="57" t="inlineStr">
        <is>
          <t>CP-025</t>
        </is>
      </c>
      <c r="H7" s="57">
        <f>IF(TRIM(G7)="",IF(A7="","",0),LEN(G7)-LEN(SUBSTITUTE(G7,",",""))+1)</f>
        <v/>
      </c>
      <c r="I7" s="57">
        <f>IF(A7="","",IF(N(H7)=0,"Sin cubrir","Cubierto"))</f>
        <v/>
      </c>
      <c r="J7" s="67" t="inlineStr">
        <is>
          <t>Bloqueado</t>
        </is>
      </c>
      <c r="K7" s="68" t="inlineStr">
        <is>
          <t>—</t>
        </is>
      </c>
      <c r="L7" s="68" t="inlineStr">
        <is>
          <t>—</t>
        </is>
      </c>
      <c r="M7" s="68" t="inlineStr">
        <is>
          <t>—</t>
        </is>
      </c>
    </row>
    <row r="8" ht="33" customHeight="1" s="27">
      <c r="A8" s="57" t="inlineStr">
        <is>
          <t>RQ-HT06-07</t>
        </is>
      </c>
      <c r="B8" s="57" t="inlineStr">
        <is>
          <t>Umbral de migracion explicito a TimescaleDB (5 clientes activos o dashboard &gt; 3 s) (procedimiento)</t>
        </is>
      </c>
      <c r="C8" s="57" t="inlineStr">
        <is>
          <t>HT-06 · criterio de aceptacion</t>
        </is>
      </c>
      <c r="D8" s="57" t="inlineStr">
        <is>
          <t>HT-06</t>
        </is>
      </c>
      <c r="E8" s="57" t="inlineStr">
        <is>
          <t>—</t>
        </is>
      </c>
      <c r="F8" s="57" t="inlineStr">
        <is>
          <t>Media</t>
        </is>
      </c>
      <c r="G8" s="57" t="inlineStr">
        <is>
          <t>CP-026, CP-029</t>
        </is>
      </c>
      <c r="H8" s="57">
        <f>IF(TRIM(G8)="",IF(A8="","",0),LEN(G8)-LEN(SUBSTITUTE(G8,",",""))+1)</f>
        <v/>
      </c>
      <c r="I8" s="57">
        <f>IF(A8="","",IF(N(H8)=0,"Sin cubrir","Cubierto"))</f>
        <v/>
      </c>
      <c r="J8" s="67" t="inlineStr">
        <is>
          <t>Parcial (1/2)</t>
        </is>
      </c>
      <c r="K8" s="68" t="inlineStr">
        <is>
          <t>—</t>
        </is>
      </c>
      <c r="L8" s="68" t="inlineStr">
        <is>
          <t>—</t>
        </is>
      </c>
      <c r="M8" s="68" t="inlineStr">
        <is>
          <t>—</t>
        </is>
      </c>
    </row>
    <row r="9" ht="33" customHeight="1" s="27">
      <c r="A9" s="57" t="inlineStr">
        <is>
          <t>RQ-HT06-08</t>
        </is>
      </c>
      <c r="B9" s="57" t="inlineStr">
        <is>
          <t>Restriccion de PostGIS documentada y poligonos como GeoJSON en columna JSON (v1.1)</t>
        </is>
      </c>
      <c r="C9" s="57" t="inlineStr">
        <is>
          <t>HT-06 · criterio de aceptacion</t>
        </is>
      </c>
      <c r="D9" s="57" t="inlineStr">
        <is>
          <t>HT-06</t>
        </is>
      </c>
      <c r="E9" s="57" t="inlineStr">
        <is>
          <t>—</t>
        </is>
      </c>
      <c r="F9" s="57" t="inlineStr">
        <is>
          <t>Media</t>
        </is>
      </c>
      <c r="G9" s="57" t="inlineStr">
        <is>
          <t>CP-027, CP-028</t>
        </is>
      </c>
      <c r="H9" s="57">
        <f>IF(TRIM(G9)="",IF(A9="","",0),LEN(G9)-LEN(SUBSTITUTE(G9,",",""))+1)</f>
        <v/>
      </c>
      <c r="I9" s="57">
        <f>IF(A9="","",IF(N(H9)=0,"Sin cubrir","Cubierto"))</f>
        <v/>
      </c>
      <c r="J9" s="67" t="inlineStr">
        <is>
          <t>Parcial (1/2)</t>
        </is>
      </c>
      <c r="K9" s="68" t="inlineStr">
        <is>
          <t>—</t>
        </is>
      </c>
      <c r="L9" s="69" t="inlineStr">
        <is>
          <t>—</t>
        </is>
      </c>
      <c r="M9" s="68" t="inlineStr">
        <is>
          <t>—</t>
        </is>
      </c>
    </row>
    <row r="10" ht="33" customHeight="1" s="27">
      <c r="A10" s="57" t="inlineStr">
        <is>
          <t>RQ-HU18-01</t>
        </is>
      </c>
      <c r="B10" s="57" t="inlineStr">
        <is>
          <t>Al elegir «Desactivar» sobre un dispositivo Activo el sistema pide confirmación antes de actuar (CA1)</t>
        </is>
      </c>
      <c r="C10" s="57" t="inlineStr">
        <is>
          <t>HU-18 · criterios y detalles de la conversación</t>
        </is>
      </c>
      <c r="D10" s="57" t="inlineStr">
        <is>
          <t>HU-18</t>
        </is>
      </c>
      <c r="E10" s="57" t="inlineStr">
        <is>
          <t>PP-189</t>
        </is>
      </c>
      <c r="F10" s="57" t="inlineStr">
        <is>
          <t>Alta</t>
        </is>
      </c>
      <c r="G10" s="57" t="inlineStr">
        <is>
          <t>CP-052, CP-053</t>
        </is>
      </c>
      <c r="H10" s="57">
        <f>IF(TRIM(G10)="",IF(A10="","",0),LEN(G10)-LEN(SUBSTITUTE(G10,",",""))+1)</f>
        <v/>
      </c>
      <c r="I10" s="57">
        <f>IF(A10="","",IF(N(H10)=0,"Sin cubrir","Cubierto"))</f>
        <v/>
      </c>
      <c r="J10" s="67" t="inlineStr">
        <is>
          <t>Aprobado</t>
        </is>
      </c>
      <c r="K10" s="68" t="inlineStr">
        <is>
          <t>—</t>
        </is>
      </c>
      <c r="L10" s="69" t="inlineStr">
        <is>
          <t>OBS-10</t>
        </is>
      </c>
      <c r="M10" s="68" t="inlineStr">
        <is>
          <t>RG-08</t>
        </is>
      </c>
    </row>
    <row r="11" ht="33" customHeight="1" s="27">
      <c r="A11" s="57" t="inlineStr">
        <is>
          <t>RQ-HU18-02</t>
        </is>
      </c>
      <c r="B11" s="57" t="inlineStr">
        <is>
          <t>Al confirmar, el dispositivo pasa a Inactivo, se detiene la ingesta de sus archivos (solo su polling FTP), no se elimina y se muestra «Dispositivo desactivado correctamente» (CA2)</t>
        </is>
      </c>
      <c r="C11" s="57" t="inlineStr">
        <is>
          <t>HU-18 · criterios y detalles de la conversación</t>
        </is>
      </c>
      <c r="D11" s="57" t="inlineStr">
        <is>
          <t>HU-18</t>
        </is>
      </c>
      <c r="E11" s="57" t="inlineStr">
        <is>
          <t>PP-189, PP-190</t>
        </is>
      </c>
      <c r="F11" s="57" t="inlineStr">
        <is>
          <t>Alta</t>
        </is>
      </c>
      <c r="G11" s="57" t="inlineStr">
        <is>
          <t>CP-030, CP-031, CP-032, CP-033, CP-034, CP-038, CP-039, CP-040, CP-051, CP-054</t>
        </is>
      </c>
      <c r="H11" s="57">
        <f>IF(TRIM(G11)="",IF(A11="","",0),LEN(G11)-LEN(SUBSTITUTE(G11,",",""))+1)</f>
        <v/>
      </c>
      <c r="I11" s="57">
        <f>IF(A11="","",IF(N(H11)=0,"Sin cubrir","Cubierto"))</f>
        <v/>
      </c>
      <c r="J11" s="67" t="inlineStr">
        <is>
          <t>Fallido</t>
        </is>
      </c>
      <c r="K11" s="68" t="inlineStr">
        <is>
          <t>DEF-04</t>
        </is>
      </c>
      <c r="L11" s="69" t="inlineStr">
        <is>
          <t>OBS-09, OBS-13</t>
        </is>
      </c>
      <c r="M11" s="68" t="inlineStr">
        <is>
          <t>RG-05, RG-06, RG-07, RG-08</t>
        </is>
      </c>
    </row>
    <row r="12" ht="33" customHeight="1" s="27">
      <c r="A12" s="57" t="inlineStr">
        <is>
          <t>RQ-HU18-03</t>
        </is>
      </c>
      <c r="B12" s="57" t="inlineStr">
        <is>
          <t>El listado muestra el dispositivo con estado Inactivo y la opción Reactivar en la columna de acciones (CA3)</t>
        </is>
      </c>
      <c r="C12" s="57" t="inlineStr">
        <is>
          <t>HU-18 · criterios y detalles de la conversación</t>
        </is>
      </c>
      <c r="D12" s="57" t="inlineStr">
        <is>
          <t>HU-18</t>
        </is>
      </c>
      <c r="E12" s="57" t="inlineStr">
        <is>
          <t>PP-189</t>
        </is>
      </c>
      <c r="F12" s="57" t="inlineStr">
        <is>
          <t>Alta</t>
        </is>
      </c>
      <c r="G12" s="57" t="inlineStr">
        <is>
          <t>CP-035, CP-054, CP-055</t>
        </is>
      </c>
      <c r="H12" s="57">
        <f>IF(TRIM(G12)="",IF(A12="","",0),LEN(G12)-LEN(SUBSTITUTE(G12,",",""))+1)</f>
        <v/>
      </c>
      <c r="I12" s="57">
        <f>IF(A12="","",IF(N(H12)=0,"Sin cubrir","Cubierto"))</f>
        <v/>
      </c>
      <c r="J12" s="67" t="inlineStr">
        <is>
          <t>Aprobado</t>
        </is>
      </c>
      <c r="K12" s="68" t="inlineStr">
        <is>
          <t>—</t>
        </is>
      </c>
      <c r="L12" s="69" t="inlineStr">
        <is>
          <t>—</t>
        </is>
      </c>
      <c r="M12" s="68" t="inlineStr">
        <is>
          <t>RG-07, RG-08</t>
        </is>
      </c>
    </row>
    <row r="13" ht="33" customHeight="1" s="27">
      <c r="A13" s="57" t="inlineStr">
        <is>
          <t>RQ-HU18-04</t>
        </is>
      </c>
      <c r="B13" s="57" t="inlineStr">
        <is>
          <t>Desactivar no elimina el historial de telemetría: los datos previos siguen consultables</t>
        </is>
      </c>
      <c r="C13" s="57" t="inlineStr">
        <is>
          <t>HU-18 · criterios y detalles de la conversación</t>
        </is>
      </c>
      <c r="D13" s="57" t="inlineStr">
        <is>
          <t>HU-18</t>
        </is>
      </c>
      <c r="E13" s="57" t="inlineStr">
        <is>
          <t>PP-191</t>
        </is>
      </c>
      <c r="F13" s="57" t="inlineStr">
        <is>
          <t>Alta</t>
        </is>
      </c>
      <c r="G13" s="57" t="inlineStr">
        <is>
          <t>CP-042, CP-043</t>
        </is>
      </c>
      <c r="H13" s="57">
        <f>IF(TRIM(G13)="",IF(A13="","",0),LEN(G13)-LEN(SUBSTITUTE(G13,",",""))+1)</f>
        <v/>
      </c>
      <c r="I13" s="57">
        <f>IF(A13="","",IF(N(H13)=0,"Sin cubrir","Cubierto"))</f>
        <v/>
      </c>
      <c r="J13" s="67" t="inlineStr">
        <is>
          <t>Aprobado</t>
        </is>
      </c>
      <c r="K13" s="68" t="inlineStr">
        <is>
          <t>—</t>
        </is>
      </c>
      <c r="L13" s="69" t="inlineStr">
        <is>
          <t>OBS-13</t>
        </is>
      </c>
      <c r="M13" s="68" t="inlineStr">
        <is>
          <t>RG-07</t>
        </is>
      </c>
    </row>
    <row r="14" ht="33" customHeight="1" s="27">
      <c r="A14" s="57" t="inlineStr">
        <is>
          <t>RQ-HU18-05</t>
        </is>
      </c>
      <c r="B14" s="57" t="inlineStr">
        <is>
          <t>Solo los roles Técnico CENERIS y Administrador pueden desactivar dispositivos</t>
        </is>
      </c>
      <c r="C14" s="57" t="inlineStr">
        <is>
          <t>HU-18 · criterios y detalles de la conversación</t>
        </is>
      </c>
      <c r="D14" s="57" t="inlineStr">
        <is>
          <t>HU-18</t>
        </is>
      </c>
      <c r="E14" s="57" t="inlineStr">
        <is>
          <t>PP-189</t>
        </is>
      </c>
      <c r="F14" s="57" t="inlineStr">
        <is>
          <t>Alta</t>
        </is>
      </c>
      <c r="G14" s="57" t="inlineStr">
        <is>
          <t>CP-044, CP-045, CP-046, CP-047, CP-048, CP-049, CP-050, CP-057, CP-058</t>
        </is>
      </c>
      <c r="H14" s="57">
        <f>IF(TRIM(G14)="",IF(A14="","",0),LEN(G14)-LEN(SUBSTITUTE(G14,",",""))+1)</f>
        <v/>
      </c>
      <c r="I14" s="57">
        <f>IF(A14="","",IF(N(H14)=0,"Sin cubrir","Cubierto"))</f>
        <v/>
      </c>
      <c r="J14" s="67" t="inlineStr">
        <is>
          <t>Aprobado</t>
        </is>
      </c>
      <c r="K14" s="68" t="inlineStr">
        <is>
          <t>—</t>
        </is>
      </c>
      <c r="L14" s="69" t="inlineStr">
        <is>
          <t>—</t>
        </is>
      </c>
      <c r="M14" s="68" t="inlineStr">
        <is>
          <t>RG-07, RG-08</t>
        </is>
      </c>
    </row>
    <row r="15" ht="33" customHeight="1" s="27">
      <c r="A15" s="57" t="inlineStr">
        <is>
          <t>RQ-HU18-06</t>
        </is>
      </c>
      <c r="B15" s="57" t="inlineStr">
        <is>
          <t>Un dispositivo inactivo puede reactivarse en cualquier momento desde la misma columna de acciones y el sondeo se reanuda</t>
        </is>
      </c>
      <c r="C15" s="57" t="inlineStr">
        <is>
          <t>HU-18 · criterios y detalles de la conversación</t>
        </is>
      </c>
      <c r="D15" s="57" t="inlineStr">
        <is>
          <t>HU-18</t>
        </is>
      </c>
      <c r="E15" s="57" t="inlineStr">
        <is>
          <t>PP-189</t>
        </is>
      </c>
      <c r="F15" s="57" t="inlineStr">
        <is>
          <t>Media</t>
        </is>
      </c>
      <c r="G15" s="57" t="inlineStr">
        <is>
          <t>CP-036, CP-037, CP-041, CP-056</t>
        </is>
      </c>
      <c r="H15" s="57">
        <f>IF(TRIM(G15)="",IF(A15="","",0),LEN(G15)-LEN(SUBSTITUTE(G15,",",""))+1)</f>
        <v/>
      </c>
      <c r="I15" s="57">
        <f>IF(A15="","",IF(N(H15)=0,"Sin cubrir","Cubierto"))</f>
        <v/>
      </c>
      <c r="J15" s="67" t="inlineStr">
        <is>
          <t>Aprobado</t>
        </is>
      </c>
      <c r="K15" s="68" t="inlineStr">
        <is>
          <t>—</t>
        </is>
      </c>
      <c r="L15" s="69" t="inlineStr">
        <is>
          <t>—</t>
        </is>
      </c>
      <c r="M15" s="68" t="inlineStr">
        <is>
          <t>RG-07, RG-08</t>
        </is>
      </c>
    </row>
    <row r="16" ht="33" customHeight="1" s="27">
      <c r="A16" s="57" t="n"/>
      <c r="B16" s="57" t="n"/>
      <c r="C16" s="57" t="n"/>
      <c r="D16" s="57" t="n"/>
      <c r="E16" s="57" t="n"/>
      <c r="F16" s="57" t="n"/>
      <c r="G16" s="57" t="n"/>
      <c r="H16" s="57">
        <f>IF(TRIM(G16)="",IF(A16="","",0),LEN(G16)-LEN(SUBSTITUTE(G16,",",""))+1)</f>
        <v/>
      </c>
      <c r="I16" s="57">
        <f>IF(A16="","",IF(N(H16)=0,"Sin cubrir","Cubierto"))</f>
        <v/>
      </c>
      <c r="J16" s="67" t="n"/>
      <c r="K16" s="68" t="n"/>
      <c r="L16" s="68" t="n"/>
      <c r="M16" s="68" t="n"/>
    </row>
    <row r="17" ht="33" customHeight="1" s="27">
      <c r="A17" s="57" t="n"/>
      <c r="B17" s="57" t="n"/>
      <c r="C17" s="57" t="n"/>
      <c r="D17" s="57" t="n"/>
      <c r="E17" s="57" t="n"/>
      <c r="F17" s="57" t="n"/>
      <c r="G17" s="57" t="n"/>
      <c r="H17" s="57">
        <f>IF(TRIM(G17)="",IF(A17="","",0),LEN(G17)-LEN(SUBSTITUTE(G17,",",""))+1)</f>
        <v/>
      </c>
      <c r="I17" s="57">
        <f>IF(A17="","",IF(N(H17)=0,"Sin cubrir","Cubierto"))</f>
        <v/>
      </c>
      <c r="J17" s="67" t="n"/>
      <c r="K17" s="68" t="n"/>
      <c r="L17" s="69" t="n"/>
      <c r="M17" s="69" t="n"/>
    </row>
    <row r="18" ht="33" customHeight="1" s="27">
      <c r="A18" s="57" t="n"/>
      <c r="B18" s="57" t="n"/>
      <c r="C18" s="57" t="n"/>
      <c r="D18" s="57" t="n"/>
      <c r="E18" s="57" t="n"/>
      <c r="F18" s="57" t="n"/>
      <c r="G18" s="57" t="n"/>
      <c r="H18" s="57">
        <f>IF(TRIM(G18)="",IF(A18="","",0),LEN(G18)-LEN(SUBSTITUTE(G18,",",""))+1)</f>
        <v/>
      </c>
      <c r="I18" s="57">
        <f>IF(A18="","",IF(N(H18)=0,"Sin cubrir","Cubierto"))</f>
        <v/>
      </c>
      <c r="J18" s="67" t="n"/>
      <c r="K18" s="68" t="n"/>
      <c r="L18" s="68" t="n"/>
      <c r="M18" s="68" t="n"/>
    </row>
    <row r="19" ht="33" customHeight="1" s="27">
      <c r="A19" s="57" t="n"/>
      <c r="B19" s="57" t="n"/>
      <c r="C19" s="57" t="n"/>
      <c r="D19" s="57" t="n"/>
      <c r="E19" s="57" t="n"/>
      <c r="F19" s="57" t="n"/>
      <c r="G19" s="57" t="n"/>
      <c r="H19" s="57">
        <f>IF(TRIM(G19)="",IF(A19="","",0),LEN(G19)-LEN(SUBSTITUTE(G19,",",""))+1)</f>
        <v/>
      </c>
      <c r="I19" s="57">
        <f>IF(A19="","",IF(N(H19)=0,"Sin cubrir","Cubierto"))</f>
        <v/>
      </c>
      <c r="J19" s="67" t="n"/>
      <c r="K19" s="68" t="n"/>
      <c r="L19" s="69" t="n"/>
      <c r="M19" s="69" t="n"/>
    </row>
    <row r="20" ht="33" customHeight="1" s="27">
      <c r="A20" s="57" t="n"/>
      <c r="B20" s="57" t="n"/>
      <c r="C20" s="57" t="n"/>
      <c r="D20" s="57" t="n"/>
      <c r="E20" s="57" t="n"/>
      <c r="F20" s="57" t="n"/>
      <c r="G20" s="57" t="n"/>
      <c r="H20" s="57">
        <f>IF(TRIM(G20)="",IF(A20="","",0),LEN(G20)-LEN(SUBSTITUTE(G20,",",""))+1)</f>
        <v/>
      </c>
      <c r="I20" s="57">
        <f>IF(A20="","",IF(N(H20)=0,"Sin cubrir","Cubierto"))</f>
        <v/>
      </c>
      <c r="J20" s="67" t="n"/>
      <c r="K20" s="68" t="n"/>
      <c r="L20" s="68" t="n"/>
      <c r="M20" s="69" t="n"/>
    </row>
    <row r="21" ht="47.5" customHeight="1" s="27">
      <c r="A21" s="57" t="n"/>
      <c r="B21" s="57" t="n"/>
      <c r="C21" s="57" t="n"/>
      <c r="D21" s="57" t="n"/>
      <c r="E21" s="57" t="n"/>
      <c r="F21" s="57" t="n"/>
      <c r="G21" s="57" t="n"/>
      <c r="H21" s="57">
        <f>IF(TRIM(G21)="",IF(A21="","",0),LEN(G21)-LEN(SUBSTITUTE(G21,",",""))+1)</f>
        <v/>
      </c>
      <c r="I21" s="57">
        <f>IF(A21="","",IF(N(H21)=0,"Sin cubrir","Cubierto"))</f>
        <v/>
      </c>
      <c r="J21" s="67" t="n"/>
      <c r="K21" s="68" t="n"/>
      <c r="L21" s="68" t="n"/>
      <c r="M21" s="68" t="n"/>
    </row>
    <row r="22" ht="18.5" customHeight="1" s="27">
      <c r="A22" s="70" t="n"/>
      <c r="B22" s="70" t="n"/>
      <c r="C22" s="70" t="n"/>
      <c r="D22" s="70" t="n"/>
      <c r="E22" s="70" t="n"/>
      <c r="F22" s="70" t="n"/>
      <c r="G22" s="70" t="n"/>
      <c r="H22" s="57">
        <f>IF(TRIM(G22)="",IF(A22="","",0),LEN(G22)-LEN(SUBSTITUTE(G22,",",""))+1)</f>
        <v/>
      </c>
      <c r="I22" s="57">
        <f>IF(A22="","",IF(N(H22)=0,"Sin cubrir","Cubierto"))</f>
        <v/>
      </c>
      <c r="J22" s="71" t="n"/>
      <c r="K22" s="69" t="n"/>
      <c r="L22" s="69" t="n"/>
      <c r="M22" s="69" t="n"/>
    </row>
    <row r="23" ht="18.5" customHeight="1" s="27">
      <c r="A23" s="70" t="n"/>
      <c r="B23" s="70" t="n"/>
      <c r="C23" s="70" t="n"/>
      <c r="D23" s="70" t="n"/>
      <c r="E23" s="70" t="n"/>
      <c r="F23" s="70" t="n"/>
      <c r="G23" s="70" t="n"/>
      <c r="H23" s="57">
        <f>IF(TRIM(G23)="",IF(A23="","",0),LEN(G23)-LEN(SUBSTITUTE(G23,",",""))+1)</f>
        <v/>
      </c>
      <c r="I23" s="57">
        <f>IF(A23="","",IF(N(H23)=0,"Sin cubrir","Cubierto"))</f>
        <v/>
      </c>
      <c r="J23" s="71" t="n"/>
      <c r="K23" s="69" t="n"/>
      <c r="L23" s="69" t="n"/>
      <c r="M23" s="69" t="n"/>
    </row>
    <row r="24" ht="18.5" customHeight="1" s="27">
      <c r="A24" s="70" t="n"/>
      <c r="B24" s="70" t="n"/>
      <c r="C24" s="70" t="n"/>
      <c r="D24" s="70" t="n"/>
      <c r="E24" s="70" t="n"/>
      <c r="F24" s="70" t="n"/>
      <c r="G24" s="70" t="n"/>
      <c r="H24" s="57">
        <f>IF(TRIM(G24)="",IF(A24="","",0),LEN(G24)-LEN(SUBSTITUTE(G24,",",""))+1)</f>
        <v/>
      </c>
      <c r="I24" s="57">
        <f>IF(A24="","",IF(N(H24)=0,"Sin cubrir","Cubierto"))</f>
        <v/>
      </c>
      <c r="J24" s="71" t="n"/>
      <c r="K24" s="69" t="n"/>
      <c r="L24" s="69" t="n"/>
      <c r="M24" s="69" t="n"/>
    </row>
    <row r="25" ht="18.5" customHeight="1" s="27">
      <c r="A25" s="70" t="n"/>
      <c r="B25" s="70" t="n"/>
      <c r="C25" s="70" t="n"/>
      <c r="D25" s="70" t="n"/>
      <c r="E25" s="70" t="n"/>
      <c r="F25" s="70" t="n"/>
      <c r="G25" s="70" t="n"/>
      <c r="H25" s="57">
        <f>IF(TRIM(G25)="",IF(A25="","",0),LEN(G25)-LEN(SUBSTITUTE(G25,",",""))+1)</f>
        <v/>
      </c>
      <c r="I25" s="57">
        <f>IF(A25="","",IF(N(H25)=0,"Sin cubrir","Cubierto"))</f>
        <v/>
      </c>
      <c r="J25" s="71" t="n"/>
      <c r="K25" s="69" t="n"/>
      <c r="L25" s="69" t="n"/>
      <c r="M25" s="69" t="n"/>
    </row>
    <row r="26" ht="18.5" customHeight="1" s="27">
      <c r="A26" s="70" t="n"/>
      <c r="B26" s="70" t="n"/>
      <c r="C26" s="70" t="n"/>
      <c r="D26" s="70" t="n"/>
      <c r="E26" s="70" t="n"/>
      <c r="F26" s="70" t="n"/>
      <c r="G26" s="70" t="n"/>
      <c r="H26" s="57">
        <f>IF(TRIM(G26)="",IF(A26="","",0),LEN(G26)-LEN(SUBSTITUTE(G26,",",""))+1)</f>
        <v/>
      </c>
      <c r="I26" s="57">
        <f>IF(A26="","",IF(N(H26)=0,"Sin cubrir","Cubierto"))</f>
        <v/>
      </c>
      <c r="J26" s="71" t="n"/>
      <c r="K26" s="69" t="n"/>
      <c r="L26" s="69" t="n"/>
      <c r="M26" s="69" t="n"/>
    </row>
    <row r="27" ht="18.5" customHeight="1" s="27">
      <c r="A27" s="70" t="n"/>
      <c r="B27" s="70" t="n"/>
      <c r="C27" s="70" t="n"/>
      <c r="D27" s="70" t="n"/>
      <c r="E27" s="70" t="n"/>
      <c r="F27" s="70" t="n"/>
      <c r="G27" s="70" t="n"/>
      <c r="H27" s="57">
        <f>IF(TRIM(G27)="",IF(A27="","",0),LEN(G27)-LEN(SUBSTITUTE(G27,",",""))+1)</f>
        <v/>
      </c>
      <c r="I27" s="57">
        <f>IF(A27="","",IF(N(H27)=0,"Sin cubrir","Cubierto"))</f>
        <v/>
      </c>
      <c r="J27" s="70" t="n"/>
      <c r="K27" s="70" t="n"/>
      <c r="L27" s="70" t="n"/>
      <c r="M27" s="70" t="n"/>
    </row>
    <row r="28" ht="18.5" customHeight="1" s="27">
      <c r="A28" s="70" t="n"/>
      <c r="B28" s="70" t="n"/>
      <c r="C28" s="70" t="n"/>
      <c r="D28" s="70" t="n"/>
      <c r="E28" s="70" t="n"/>
      <c r="F28" s="70" t="n"/>
      <c r="G28" s="70" t="n"/>
      <c r="H28" s="57">
        <f>IF(TRIM(G28)="",IF(A28="","",0),LEN(G28)-LEN(SUBSTITUTE(G28,",",""))+1)</f>
        <v/>
      </c>
      <c r="I28" s="57">
        <f>IF(A28="","",IF(N(H28)=0,"Sin cubrir","Cubierto"))</f>
        <v/>
      </c>
      <c r="J28" s="70" t="n"/>
      <c r="K28" s="70" t="n"/>
      <c r="L28" s="70" t="n"/>
      <c r="M28" s="70" t="n"/>
    </row>
    <row r="29" ht="18.5" customHeight="1" s="27">
      <c r="A29" s="70" t="n"/>
      <c r="B29" s="70" t="n"/>
      <c r="C29" s="70" t="n"/>
      <c r="D29" s="70" t="n"/>
      <c r="E29" s="70" t="n"/>
      <c r="F29" s="70" t="n"/>
      <c r="G29" s="70" t="n"/>
      <c r="H29" s="57">
        <f>IF(TRIM(G29)="",IF(A29="","",0),LEN(G29)-LEN(SUBSTITUTE(G29,",",""))+1)</f>
        <v/>
      </c>
      <c r="I29" s="57">
        <f>IF(A29="","",IF(N(H29)=0,"Sin cubrir","Cubierto"))</f>
        <v/>
      </c>
      <c r="J29" s="70" t="n"/>
      <c r="K29" s="70" t="n"/>
      <c r="L29" s="70" t="n"/>
      <c r="M29" s="70" t="n"/>
    </row>
    <row r="30" ht="18.5" customHeight="1" s="27">
      <c r="A30" s="70" t="n"/>
      <c r="B30" s="70" t="n"/>
      <c r="C30" s="70" t="n"/>
      <c r="D30" s="70" t="n"/>
      <c r="E30" s="70" t="n"/>
      <c r="F30" s="70" t="n"/>
      <c r="G30" s="70" t="n"/>
      <c r="H30" s="57">
        <f>IF(TRIM(G30)="",IF(A30="","",0),LEN(G30)-LEN(SUBSTITUTE(G30,",",""))+1)</f>
        <v/>
      </c>
      <c r="I30" s="57">
        <f>IF(A30="","",IF(N(H30)=0,"Sin cubrir","Cubierto"))</f>
        <v/>
      </c>
      <c r="J30" s="72" t="n"/>
      <c r="K30" s="70" t="n"/>
      <c r="L30" s="70" t="n"/>
      <c r="M30" s="70" t="n"/>
    </row>
    <row r="31" ht="18.5" customHeight="1" s="27">
      <c r="A31" s="70" t="n"/>
      <c r="B31" s="70" t="n"/>
      <c r="C31" s="70" t="n"/>
      <c r="D31" s="70" t="n"/>
      <c r="E31" s="70" t="n"/>
      <c r="F31" s="70" t="n"/>
      <c r="G31" s="70" t="n"/>
      <c r="H31" s="57">
        <f>IF(TRIM(G31)="",IF(A31="","",0),LEN(G31)-LEN(SUBSTITUTE(G31,",",""))+1)</f>
        <v/>
      </c>
      <c r="I31" s="57">
        <f>IF(A31="","",IF(N(H31)=0,"Sin cubrir","Cubierto"))</f>
        <v/>
      </c>
      <c r="J31" s="72" t="n"/>
      <c r="K31" s="70" t="n"/>
      <c r="L31" s="70" t="n"/>
      <c r="M31" s="70" t="n"/>
    </row>
    <row r="32" ht="18.5" customHeight="1" s="27">
      <c r="A32" s="70" t="n"/>
      <c r="B32" s="70" t="n"/>
      <c r="C32" s="70" t="n"/>
      <c r="D32" s="70" t="n"/>
      <c r="E32" s="70" t="n"/>
      <c r="F32" s="70" t="n"/>
      <c r="G32" s="70" t="n"/>
      <c r="H32" s="57">
        <f>IF(TRIM(G32)="",IF(A32="","",0),LEN(G32)-LEN(SUBSTITUTE(G32,",",""))+1)</f>
        <v/>
      </c>
      <c r="I32" s="57">
        <f>IF(A32="","",IF(N(H32)=0,"Sin cubrir","Cubierto"))</f>
        <v/>
      </c>
      <c r="J32" s="72" t="n"/>
      <c r="K32" s="70" t="n"/>
      <c r="L32" s="70" t="n"/>
      <c r="M32" s="70" t="n"/>
    </row>
    <row r="33" ht="18.5" customHeight="1" s="27">
      <c r="A33" s="70" t="n"/>
      <c r="B33" s="70" t="n"/>
      <c r="C33" s="70" t="n"/>
      <c r="D33" s="70" t="n"/>
      <c r="E33" s="70" t="n"/>
      <c r="F33" s="70" t="n"/>
      <c r="G33" s="70" t="n"/>
      <c r="H33" s="57">
        <f>IF(TRIM(G33)="",IF(A33="","",0),LEN(G33)-LEN(SUBSTITUTE(G33,",",""))+1)</f>
        <v/>
      </c>
      <c r="I33" s="57">
        <f>IF(A33="","",IF(N(H33)=0,"Sin cubrir","Cubierto"))</f>
        <v/>
      </c>
      <c r="J33" s="72" t="n"/>
      <c r="K33" s="70" t="n"/>
      <c r="L33" s="70" t="n"/>
      <c r="M33" s="70" t="n"/>
    </row>
    <row r="34" ht="18.5" customHeight="1" s="27">
      <c r="A34" s="70" t="n"/>
      <c r="B34" s="70" t="n"/>
      <c r="C34" s="70" t="n"/>
      <c r="D34" s="70" t="n"/>
      <c r="E34" s="70" t="n"/>
      <c r="F34" s="70" t="n"/>
      <c r="G34" s="70" t="n"/>
      <c r="H34" s="57">
        <f>IF(TRIM(G34)="",IF(A34="","",0),LEN(G34)-LEN(SUBSTITUTE(G34,",",""))+1)</f>
        <v/>
      </c>
      <c r="I34" s="57">
        <f>IF(A34="","",IF(N(H34)=0,"Sin cubrir","Cubierto"))</f>
        <v/>
      </c>
      <c r="J34" s="72" t="n"/>
      <c r="K34" s="70" t="n"/>
      <c r="L34" s="70" t="n"/>
      <c r="M34" s="70" t="n"/>
    </row>
    <row r="35" ht="18.5" customHeight="1" s="27">
      <c r="A35" s="70" t="n"/>
      <c r="B35" s="70" t="n"/>
      <c r="C35" s="70" t="n"/>
      <c r="D35" s="70" t="n"/>
      <c r="E35" s="70" t="n"/>
      <c r="F35" s="70" t="n"/>
      <c r="G35" s="70" t="n"/>
      <c r="H35" s="57">
        <f>IF(TRIM(G35)="",IF(A35="","",0),LEN(G35)-LEN(SUBSTITUTE(G35,",",""))+1)</f>
        <v/>
      </c>
      <c r="I35" s="57">
        <f>IF(A35="","",IF(N(H35)=0,"Sin cubrir","Cubierto"))</f>
        <v/>
      </c>
      <c r="J35" s="70" t="n"/>
      <c r="K35" s="70" t="n"/>
      <c r="L35" s="70" t="n"/>
      <c r="M35" s="70" t="n"/>
    </row>
    <row r="36" ht="18.5" customHeight="1" s="27">
      <c r="A36" s="70" t="n"/>
      <c r="B36" s="70" t="n"/>
      <c r="C36" s="70" t="n"/>
      <c r="D36" s="70" t="n"/>
      <c r="E36" s="70" t="n"/>
      <c r="F36" s="70" t="n"/>
      <c r="G36" s="70" t="n"/>
      <c r="H36" s="57">
        <f>IF(TRIM(G36)="",IF(A36="","",0),LEN(G36)-LEN(SUBSTITUTE(G36,",",""))+1)</f>
        <v/>
      </c>
      <c r="I36" s="57">
        <f>IF(A36="","",IF(N(H36)=0,"Sin cubrir","Cubierto"))</f>
        <v/>
      </c>
      <c r="J36" s="72" t="n"/>
      <c r="K36" s="70" t="n"/>
      <c r="L36" s="70" t="n"/>
      <c r="M36" s="70" t="n"/>
    </row>
    <row r="37" ht="18.5" customHeight="1" s="27">
      <c r="A37" s="70" t="n"/>
      <c r="B37" s="70" t="n"/>
      <c r="C37" s="70" t="n"/>
      <c r="D37" s="70" t="n"/>
      <c r="E37" s="70" t="n"/>
      <c r="F37" s="70" t="n"/>
      <c r="G37" s="70" t="n"/>
      <c r="H37" s="57">
        <f>IF(TRIM(G37)="",IF(A37="","",0),LEN(G37)-LEN(SUBSTITUTE(G37,",",""))+1)</f>
        <v/>
      </c>
      <c r="I37" s="57">
        <f>IF(A37="","",IF(N(H37)=0,"Sin cubrir","Cubierto"))</f>
        <v/>
      </c>
      <c r="J37" s="72" t="n"/>
      <c r="K37" s="70" t="n"/>
      <c r="L37" s="70" t="n"/>
      <c r="M37" s="70" t="n"/>
    </row>
    <row r="38" ht="18.5" customHeight="1" s="27">
      <c r="A38" s="70" t="n"/>
      <c r="B38" s="70" t="n"/>
      <c r="C38" s="70" t="n"/>
      <c r="D38" s="70" t="n"/>
      <c r="E38" s="70" t="n"/>
      <c r="F38" s="70" t="n"/>
      <c r="G38" s="70" t="n"/>
      <c r="H38" s="57">
        <f>IF(TRIM(G38)="",IF(A38="","",0),LEN(G38)-LEN(SUBSTITUTE(G38,",",""))+1)</f>
        <v/>
      </c>
      <c r="I38" s="57">
        <f>IF(A38="","",IF(N(H38)=0,"Sin cubrir","Cubierto"))</f>
        <v/>
      </c>
      <c r="J38" s="72" t="n"/>
      <c r="K38" s="70" t="n"/>
      <c r="L38" s="70" t="n"/>
      <c r="M38" s="70" t="n"/>
    </row>
    <row r="39" ht="18.5" customHeight="1" s="27">
      <c r="A39" s="70" t="n"/>
      <c r="B39" s="70" t="n"/>
      <c r="C39" s="70" t="n"/>
      <c r="D39" s="70" t="n"/>
      <c r="E39" s="70" t="n"/>
      <c r="F39" s="70" t="n"/>
      <c r="G39" s="70" t="n"/>
      <c r="H39" s="57">
        <f>IF(TRIM(G39)="",IF(A39="","",0),LEN(G39)-LEN(SUBSTITUTE(G39,",",""))+1)</f>
        <v/>
      </c>
      <c r="I39" s="57">
        <f>IF(A39="","",IF(N(H39)=0,"Sin cubrir","Cubierto"))</f>
        <v/>
      </c>
      <c r="J39" s="72" t="n"/>
      <c r="K39" s="70" t="n"/>
      <c r="L39" s="70" t="n"/>
      <c r="M39" s="70" t="n"/>
    </row>
    <row r="40" ht="18.5" customHeight="1" s="27">
      <c r="A40" s="70" t="n"/>
      <c r="B40" s="70" t="n"/>
      <c r="C40" s="70" t="n"/>
      <c r="D40" s="70" t="n"/>
      <c r="E40" s="70" t="n"/>
      <c r="F40" s="70" t="n"/>
      <c r="G40" s="70" t="n"/>
      <c r="H40" s="57">
        <f>IF(TRIM(G40)="",IF(A40="","",0),LEN(G40)-LEN(SUBSTITUTE(G40,",",""))+1)</f>
        <v/>
      </c>
      <c r="I40" s="57">
        <f>IF(A40="","",IF(N(H40)=0,"Sin cubrir","Cubierto"))</f>
        <v/>
      </c>
      <c r="J40" s="72" t="n"/>
      <c r="K40" s="70" t="n"/>
      <c r="L40" s="70" t="n"/>
      <c r="M40" s="70" t="n"/>
    </row>
    <row r="41" ht="18.5" customHeight="1" s="27">
      <c r="A41" s="70" t="n"/>
      <c r="B41" s="70" t="n"/>
      <c r="C41" s="70" t="n"/>
      <c r="D41" s="70" t="n"/>
      <c r="E41" s="70" t="n"/>
      <c r="F41" s="70" t="n"/>
      <c r="G41" s="70" t="n"/>
      <c r="H41" s="57">
        <f>IF(TRIM(G41)="",IF(A41="","",0),LEN(G41)-LEN(SUBSTITUTE(G41,",",""))+1)</f>
        <v/>
      </c>
      <c r="I41" s="57">
        <f>IF(A41="","",IF(N(H41)=0,"Sin cubrir","Cubierto"))</f>
        <v/>
      </c>
      <c r="J41" s="72" t="n"/>
      <c r="K41" s="70" t="n"/>
      <c r="L41" s="70" t="n"/>
      <c r="M41" s="70" t="n"/>
    </row>
    <row r="42" ht="18.5" customHeight="1" s="27">
      <c r="A42" s="70" t="n"/>
      <c r="B42" s="70" t="n"/>
      <c r="C42" s="70" t="n"/>
      <c r="D42" s="70" t="n"/>
      <c r="E42" s="70" t="n"/>
      <c r="F42" s="70" t="n"/>
      <c r="G42" s="70" t="n"/>
      <c r="H42" s="57">
        <f>IF(TRIM(G42)="",IF(A42="","",0),LEN(G42)-LEN(SUBSTITUTE(G42,",",""))+1)</f>
        <v/>
      </c>
      <c r="I42" s="57">
        <f>IF(A42="","",IF(N(H42)=0,"Sin cubrir","Cubierto"))</f>
        <v/>
      </c>
      <c r="J42" s="72" t="n"/>
      <c r="K42" s="70" t="n"/>
      <c r="L42" s="70" t="n"/>
      <c r="M42" s="70" t="n"/>
    </row>
    <row r="43" ht="18.5" customHeight="1" s="27">
      <c r="A43" s="70" t="n"/>
      <c r="B43" s="70" t="n"/>
      <c r="C43" s="70" t="n"/>
      <c r="D43" s="70" t="n"/>
      <c r="E43" s="70" t="n"/>
      <c r="F43" s="70" t="n"/>
      <c r="G43" s="70" t="n"/>
      <c r="H43" s="57">
        <f>IF(TRIM(G43)="",IF(A43="","",0),LEN(G43)-LEN(SUBSTITUTE(G43,",",""))+1)</f>
        <v/>
      </c>
      <c r="I43" s="57">
        <f>IF(A43="","",IF(N(H43)=0,"Sin cubrir","Cubierto"))</f>
        <v/>
      </c>
      <c r="J43" s="72" t="n"/>
      <c r="K43" s="70" t="n"/>
      <c r="L43" s="70" t="n"/>
      <c r="M43" s="70" t="n"/>
    </row>
    <row r="44" ht="18.5" customHeight="1" s="27">
      <c r="A44" s="70" t="n"/>
      <c r="B44" s="70" t="n"/>
      <c r="C44" s="70" t="n"/>
      <c r="D44" s="70" t="n"/>
      <c r="E44" s="70" t="n"/>
      <c r="F44" s="70" t="n"/>
      <c r="G44" s="70" t="n"/>
      <c r="H44" s="57">
        <f>IF(TRIM(G44)="",IF(A44="","",0),LEN(G44)-LEN(SUBSTITUTE(G44,",",""))+1)</f>
        <v/>
      </c>
      <c r="I44" s="57">
        <f>IF(A44="","",IF(N(H44)=0,"Sin cubrir","Cubierto"))</f>
        <v/>
      </c>
      <c r="J44" s="72" t="n"/>
      <c r="K44" s="70" t="n"/>
      <c r="L44" s="70" t="n"/>
      <c r="M44" s="70" t="n"/>
    </row>
    <row r="45" ht="18.5" customHeight="1" s="27">
      <c r="A45" s="70" t="n"/>
      <c r="B45" s="70" t="n"/>
      <c r="C45" s="70" t="n"/>
      <c r="D45" s="70" t="n"/>
      <c r="E45" s="70" t="n"/>
      <c r="F45" s="70" t="n"/>
      <c r="G45" s="70" t="n"/>
      <c r="H45" s="57">
        <f>IF(TRIM(G45)="",IF(A45="","",0),LEN(G45)-LEN(SUBSTITUTE(G45,",",""))+1)</f>
        <v/>
      </c>
      <c r="I45" s="57">
        <f>IF(A45="","",IF(N(H45)=0,"Sin cubrir","Cubierto"))</f>
        <v/>
      </c>
      <c r="J45" s="72" t="n"/>
      <c r="K45" s="70" t="n"/>
      <c r="L45" s="70" t="n"/>
      <c r="M45" s="70" t="n"/>
    </row>
    <row r="46" ht="18.5" customHeight="1" s="27">
      <c r="A46" s="70" t="n"/>
      <c r="B46" s="70" t="n"/>
      <c r="C46" s="70" t="n"/>
      <c r="D46" s="70" t="n"/>
      <c r="E46" s="70" t="n"/>
      <c r="F46" s="70" t="n"/>
      <c r="G46" s="70" t="n"/>
      <c r="H46" s="57">
        <f>IF(TRIM(G46)="",IF(A46="","",0),LEN(G46)-LEN(SUBSTITUTE(G46,",",""))+1)</f>
        <v/>
      </c>
      <c r="I46" s="57">
        <f>IF(A46="","",IF(N(H46)=0,"Sin cubrir","Cubierto"))</f>
        <v/>
      </c>
      <c r="J46" s="72" t="n"/>
      <c r="K46" s="70" t="n"/>
      <c r="L46" s="70" t="n"/>
      <c r="M46" s="70" t="n"/>
    </row>
    <row r="47" ht="18.5" customHeight="1" s="27">
      <c r="A47" s="70" t="n"/>
      <c r="B47" s="70" t="n"/>
      <c r="C47" s="70" t="n"/>
      <c r="D47" s="70" t="n"/>
      <c r="E47" s="70" t="n"/>
      <c r="F47" s="70" t="n"/>
      <c r="G47" s="70" t="n"/>
      <c r="H47" s="57">
        <f>IF(TRIM(G47)="",IF(A47="","",0),LEN(G47)-LEN(SUBSTITUTE(G47,",",""))+1)</f>
        <v/>
      </c>
      <c r="I47" s="57">
        <f>IF(A47="","",IF(N(H47)=0,"Sin cubrir","Cubierto"))</f>
        <v/>
      </c>
      <c r="J47" s="72" t="n"/>
      <c r="K47" s="70" t="n"/>
      <c r="L47" s="70" t="n"/>
      <c r="M47" s="70" t="n"/>
    </row>
  </sheetData>
  <conditionalFormatting sqref="J2:J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  <cfRule type="cellIs" rank="0" priority="6" equalAverage="0" operator="equal" aboveAverage="0" dxfId="4" text="" percent="0" bottom="0">
      <formula>"No aplica"</formula>
    </cfRule>
  </conditionalFormatting>
  <conditionalFormatting sqref="I2:I200">
    <cfRule type="cellIs" rank="0" priority="7" equalAverage="0" operator="equal" aboveAverage="0" dxfId="1" text="" percent="0" bottom="0">
      <formula>"Cubierto"</formula>
    </cfRule>
    <cfRule type="cellIs" rank="0" priority="8" equalAverage="0" operator="equal" aboveAverage="0" dxfId="2" text="" percent="0" bottom="0">
      <formula>"Sin cubrir"</formula>
    </cfRule>
  </conditionalFormatting>
  <dataValidations count="1">
    <dataValidation sqref="J2:J200" showDropDown="0" showInputMessage="0" showErrorMessage="0" allowBlank="1" type="list" errorStyle="stop" operator="between">
      <formula1>"Pendiente,Aprobado,Fallido,Bloqueado,No aplica"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R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3" customWidth="1" style="27" min="1" max="1"/>
    <col width="13" customWidth="1" style="27" min="2" max="2"/>
    <col width="48" customWidth="1" style="26" min="3" max="3"/>
    <col width="26" customWidth="1" style="26" min="4" max="4"/>
    <col width="14" customWidth="1" style="26" min="5" max="6"/>
    <col width="13" customWidth="1" style="27" min="6" max="6"/>
    <col width="16" customWidth="1" style="26" min="7" max="7"/>
    <col width="36" customWidth="1" style="26" min="8" max="8"/>
    <col width="12" customWidth="1" style="26" min="9" max="10"/>
    <col width="13" customWidth="1" style="27" min="10" max="10"/>
    <col width="13" customWidth="1" style="27" min="11" max="11"/>
    <col width="11" customWidth="1" style="26" min="12" max="12"/>
    <col width="10" customWidth="1" style="26" min="13" max="13"/>
    <col width="11" customWidth="1" style="26" min="14" max="14"/>
    <col width="26" customWidth="1" style="26" min="15" max="15"/>
    <col width="14" customWidth="1" style="26" min="16" max="16"/>
    <col width="60" customWidth="1" style="26" min="17" max="17"/>
    <col width="34" customWidth="1" style="26" min="18" max="18"/>
  </cols>
  <sheetData>
    <row r="1" ht="33" customHeight="1" s="27">
      <c r="A1" s="66" t="inlineStr">
        <is>
          <t>Historia</t>
        </is>
      </c>
      <c r="B1" s="66" t="inlineStr">
        <is>
          <t>HU</t>
        </is>
      </c>
      <c r="C1" s="66" t="inlineStr">
        <is>
          <t>Título</t>
        </is>
      </c>
      <c r="D1" s="66" t="inlineStr">
        <is>
          <t>Épica</t>
        </is>
      </c>
      <c r="E1" s="66" t="inlineStr">
        <is>
          <t>Estado en tablero</t>
        </is>
      </c>
      <c r="F1" s="66" t="inlineStr">
        <is>
          <t>Subtarea: casos</t>
        </is>
      </c>
      <c r="G1" s="66" t="inlineStr">
        <is>
          <t>Subtarea: ejecución</t>
        </is>
      </c>
      <c r="H1" s="66" t="inlineStr">
        <is>
          <t>Requisitos</t>
        </is>
      </c>
      <c r="I1" s="66" t="inlineStr">
        <is>
          <t>N requisitos</t>
        </is>
      </c>
      <c r="J1" s="66" t="inlineStr">
        <is>
          <t>Requisitos cubiertos</t>
        </is>
      </c>
      <c r="K1" s="66" t="inlineStr">
        <is>
          <t>Casos de la HU</t>
        </is>
      </c>
      <c r="L1" s="66" t="inlineStr">
        <is>
          <t>Casos aprobados</t>
        </is>
      </c>
      <c r="M1" s="66" t="inlineStr">
        <is>
          <t>Casos fallidos</t>
        </is>
      </c>
      <c r="N1" s="66" t="inlineStr">
        <is>
          <t>Casos bloqueados</t>
        </is>
      </c>
      <c r="O1" s="66" t="inlineStr">
        <is>
          <t>Defectos abiertos</t>
        </is>
      </c>
      <c r="P1" s="66" t="inlineStr">
        <is>
          <t>Veredicto</t>
        </is>
      </c>
      <c r="Q1" s="66" t="inlineStr">
        <is>
          <t>Por qué no pasa</t>
        </is>
      </c>
      <c r="R1" s="66" t="inlineStr">
        <is>
          <t>Código en dev</t>
        </is>
      </c>
    </row>
    <row r="2" ht="62" customHeight="1" s="27">
      <c r="A2" s="57" t="inlineStr">
        <is>
          <t>HT-06</t>
        </is>
      </c>
      <c r="B2" s="57" t="inlineStr">
        <is>
          <t>HT-06</t>
        </is>
      </c>
      <c r="C2" s="57" t="inlineStr">
        <is>
          <t>Estrategia de despliegue e infraestructura en AWS Lightsail</t>
        </is>
      </c>
      <c r="D2" s="57" t="inlineStr">
        <is>
          <t>Infraestructura</t>
        </is>
      </c>
      <c r="E2" s="57" t="inlineStr">
        <is>
          <t>En curso</t>
        </is>
      </c>
      <c r="F2" s="57" t="inlineStr">
        <is>
          <t>Listo</t>
        </is>
      </c>
      <c r="G2" s="57" t="inlineStr">
        <is>
          <t>En curso</t>
        </is>
      </c>
      <c r="H2" s="57" t="inlineStr">
        <is>
          <t>RQ-HT06-01, RQ-HT06-02, RQ-HT06-03, RQ-HT06-04, RQ-HT06-05, RQ-HT06-06, RQ-HT06-07, RQ-HT06-08</t>
        </is>
      </c>
      <c r="I2" s="57">
        <f>IF($A2="","",COUNTIF(RTM!D2:D200,A2))</f>
        <v/>
      </c>
      <c r="J2" s="57">
        <f>IF($A2="","",COUNTIFS(RTM!D2:D200,A2,RTM!I2:I200,"Cubierto"))</f>
        <v/>
      </c>
      <c r="K2" s="57">
        <f>IF($A2="","",COUNTIF('Fuente casos'!$B$2:$B$500,$A2))</f>
        <v/>
      </c>
      <c r="L2" s="57">
        <f>IF($A2="","",COUNTIFS('Fuente casos'!$B$2:$B$500,$A2,'Fuente casos'!$C$2:$C$500,"Aprobado"))</f>
        <v/>
      </c>
      <c r="M2" s="57">
        <f>IF($A2="","",COUNTIFS('Fuente casos'!$B$2:$B$500,$A2,'Fuente casos'!$C$2:$C$500,"Fallido"))</f>
        <v/>
      </c>
      <c r="N2" s="57">
        <f>IF($A2="","",COUNTIFS('Fuente casos'!$B$2:$B$500,$A2,'Fuente casos'!$C$2:$C$500,"Bloqueado"))</f>
        <v/>
      </c>
      <c r="O2" s="57">
        <f>IF($A2="","",COUNTIFS('Fuente defectos'!$B$2:$B$500,$A2,'Fuente defectos'!$A$2:$A$500,"DEF-*",'Fuente defectos'!$C$2:$C$500,"&lt;&gt;Cerrado",'Fuente defectos'!$C$2:$C$500,"&lt;&gt;Rechazado"))</f>
        <v/>
      </c>
      <c r="P2" s="73">
        <f>IF($A2="","",IF(N(K2)=0,"Sin casos",IF(N(M2)+N(O2)&gt;0,"No pasa",IF(N(L2)=N(K2),"Pasa","Pendiente"))))</f>
        <v/>
      </c>
      <c r="Q2" s="57" t="inlineStr">
        <is>
          <t>DEF-01 (BD publica), DEF-02 (secretos en el historial) y DEF-03 (docker-compose); PP-127 y PP-129 no entregadas (PEN-02, PEN-03) y falta el receptor FTP/TCP (PEN-01)</t>
        </is>
      </c>
      <c r="R2" s="57" t="inlineStr">
        <is>
          <t>Despliegue activo con imagen api-b948aac.16 (commit b948aac); sin codigo de respaldo ni de Object Storage</t>
        </is>
      </c>
    </row>
    <row r="3" ht="91" customHeight="1" s="27">
      <c r="A3" s="57" t="inlineStr">
        <is>
          <t>HU-18</t>
        </is>
      </c>
      <c r="B3" s="57" t="inlineStr">
        <is>
          <t>HU-18</t>
        </is>
      </c>
      <c r="C3" s="57" t="inlineStr">
        <is>
          <t>Desactivar dispositivo</t>
        </is>
      </c>
      <c r="D3" s="57" t="inlineStr">
        <is>
          <t>Gestión de dispositivos</t>
        </is>
      </c>
      <c r="E3" s="57" t="inlineStr">
        <is>
          <t>En curso</t>
        </is>
      </c>
      <c r="F3" s="57" t="inlineStr">
        <is>
          <t>Listo</t>
        </is>
      </c>
      <c r="G3" s="57" t="inlineStr">
        <is>
          <t>En curso</t>
        </is>
      </c>
      <c r="H3" s="57" t="inlineStr">
        <is>
          <t>RQ-HU18-01, RQ-HU18-02, RQ-HU18-03, RQ-HU18-04, RQ-HU18-05, RQ-HU18-06</t>
        </is>
      </c>
      <c r="I3" s="57">
        <f>IF($A3="","",COUNTIF(RTM!D2:D200,A3))</f>
        <v/>
      </c>
      <c r="J3" s="57">
        <f>IF($A3="","",COUNTIFS(RTM!D2:D200,A3,RTM!I2:I200,"Cubierto"))</f>
        <v/>
      </c>
      <c r="K3" s="57">
        <f>IF($A3="","",COUNTIF('Fuente casos'!$B$2:$B$500,$A3))</f>
        <v/>
      </c>
      <c r="L3" s="57">
        <f>IF($A3="","",COUNTIFS('Fuente casos'!$B$2:$B$500,$A3,'Fuente casos'!$C$2:$C$500,"Aprobado"))</f>
        <v/>
      </c>
      <c r="M3" s="57">
        <f>IF($A3="","",COUNTIFS('Fuente casos'!$B$2:$B$500,$A3,'Fuente casos'!$C$2:$C$500,"Fallido"))</f>
        <v/>
      </c>
      <c r="N3" s="57">
        <f>IF($A3="","",COUNTIFS('Fuente casos'!$B$2:$B$500,$A3,'Fuente casos'!$C$2:$C$500,"Bloqueado"))</f>
        <v/>
      </c>
      <c r="O3" s="57">
        <f>IF($A3="","",COUNTIFS('Fuente defectos'!$B$2:$B$500,$A3,'Fuente defectos'!$A$2:$A$500,"DEF-*",'Fuente defectos'!$C$2:$C$500,"&lt;&gt;Cerrado",'Fuente defectos'!$C$2:$C$500,"&lt;&gt;Rechazado"))</f>
        <v/>
      </c>
      <c r="P3" s="67">
        <f>IF($A3="","",IF(N(K3)=0,"Sin casos",IF(N(M3)+N(O3)&gt;0,"No pasa",IF(N(L3)=N(K3),"Pasa","Pendiente"))))</f>
        <v/>
      </c>
      <c r="Q3" s="57" t="inlineStr">
        <is>
          <t>DEF-04: desactivar no detiene el polling FTP (PP-190, subtarea en Por hacer). PP-189 y PP-191 pasan; PP-413 (QA) en Listo. Hay 4 observaciones abiertas (OBS-09, OBS-10, OBS-11 y OBS-13), dos de ellas por decidir por el PO.</t>
        </is>
      </c>
      <c r="R3" s="57" t="inlineStr">
        <is>
          <t>Acción Desactivar/Reactivar en commit 2db9325, integrado en main y dev; el sondeo FTP (tasks/ingesta.py) no excluye dispositivos desactivados</t>
        </is>
      </c>
    </row>
    <row r="4" ht="18.5" customHeight="1" s="27">
      <c r="A4" s="70" t="n"/>
      <c r="B4" s="70" t="n"/>
      <c r="C4" s="70" t="n"/>
      <c r="D4" s="70" t="n"/>
      <c r="E4" s="70" t="n"/>
      <c r="F4" s="70" t="n"/>
      <c r="G4" s="70" t="n"/>
      <c r="H4" s="70" t="n"/>
      <c r="I4" s="57">
        <f>IF($A4="","",COUNTIF(RTM!D2:D200,A4))</f>
        <v/>
      </c>
      <c r="J4" s="57">
        <f>IF($A4="","",COUNTIFS(RTM!D2:D200,A4,RTM!I2:I200,"Cubierto"))</f>
        <v/>
      </c>
      <c r="K4" s="57">
        <f>IF($A4="","",COUNTIF('Fuente casos'!$B$2:$B$500,$A4))</f>
        <v/>
      </c>
      <c r="L4" s="57">
        <f>IF($A4="","",COUNTIFS('Fuente casos'!$B$2:$B$500,$A4,'Fuente casos'!$C$2:$C$500,"Aprobado"))</f>
        <v/>
      </c>
      <c r="M4" s="57">
        <f>IF($A4="","",COUNTIFS('Fuente casos'!$B$2:$B$500,$A4,'Fuente casos'!$C$2:$C$500,"Fallido"))</f>
        <v/>
      </c>
      <c r="N4" s="57">
        <f>IF($A4="","",COUNTIFS('Fuente casos'!$B$2:$B$500,$A4,'Fuente casos'!$C$2:$C$500,"Bloqueado"))</f>
        <v/>
      </c>
      <c r="O4" s="57">
        <f>IF($A4="","",COUNTIFS('Fuente defectos'!$B$2:$B$500,$A4,'Fuente defectos'!$A$2:$A$500,"DEF-*",'Fuente defectos'!$C$2:$C$500,"&lt;&gt;Cerrado",'Fuente defectos'!$C$2:$C$500,"&lt;&gt;Rechazado"))</f>
        <v/>
      </c>
      <c r="P4" s="67">
        <f>IF($A4="","",IF(N(K4)=0,"Sin casos",IF(N(M4)+N(O4)&gt;0,"No pasa",IF(N(L4)=N(K4),"Pasa","Pendiente"))))</f>
        <v/>
      </c>
      <c r="Q4" s="70" t="n"/>
      <c r="R4" s="70" t="n"/>
    </row>
    <row r="5" ht="18.5" customHeight="1" s="27">
      <c r="A5" s="70" t="n"/>
      <c r="B5" s="70" t="n"/>
      <c r="C5" s="70" t="n"/>
      <c r="D5" s="70" t="n"/>
      <c r="E5" s="70" t="n"/>
      <c r="F5" s="70" t="n"/>
      <c r="G5" s="70" t="n"/>
      <c r="H5" s="70" t="n"/>
      <c r="I5" s="57">
        <f>IF($A5="","",COUNTIF(RTM!D2:D200,A5))</f>
        <v/>
      </c>
      <c r="J5" s="57">
        <f>IF($A5="","",COUNTIFS(RTM!D2:D200,A5,RTM!I2:I200,"Cubierto"))</f>
        <v/>
      </c>
      <c r="K5" s="57">
        <f>IF($A5="","",COUNTIF('Fuente casos'!$B$2:$B$500,$A5))</f>
        <v/>
      </c>
      <c r="L5" s="57">
        <f>IF($A5="","",COUNTIFS('Fuente casos'!$B$2:$B$500,$A5,'Fuente casos'!$C$2:$C$500,"Aprobado"))</f>
        <v/>
      </c>
      <c r="M5" s="57">
        <f>IF($A5="","",COUNTIFS('Fuente casos'!$B$2:$B$500,$A5,'Fuente casos'!$C$2:$C$500,"Fallido"))</f>
        <v/>
      </c>
      <c r="N5" s="57">
        <f>IF($A5="","",COUNTIFS('Fuente casos'!$B$2:$B$500,$A5,'Fuente casos'!$C$2:$C$500,"Bloqueado"))</f>
        <v/>
      </c>
      <c r="O5" s="57">
        <f>IF($A5="","",COUNTIFS('Fuente defectos'!$B$2:$B$500,$A5,'Fuente defectos'!$A$2:$A$500,"DEF-*",'Fuente defectos'!$C$2:$C$500,"&lt;&gt;Cerrado",'Fuente defectos'!$C$2:$C$500,"&lt;&gt;Rechazado"))</f>
        <v/>
      </c>
      <c r="P5" s="67">
        <f>IF($A5="","",IF(N(K5)=0,"Sin casos",IF(N(M5)+N(O5)&gt;0,"No pasa",IF(N(L5)=N(K5),"Pasa","Pendiente"))))</f>
        <v/>
      </c>
      <c r="Q5" s="70" t="n"/>
      <c r="R5" s="70" t="n"/>
    </row>
    <row r="6" ht="18.5" customHeight="1" s="27">
      <c r="A6" s="70" t="n"/>
      <c r="B6" s="70" t="n"/>
      <c r="C6" s="70" t="n"/>
      <c r="D6" s="70" t="n"/>
      <c r="E6" s="70" t="n"/>
      <c r="F6" s="70" t="n"/>
      <c r="G6" s="70" t="n"/>
      <c r="H6" s="70" t="n"/>
      <c r="I6" s="57">
        <f>IF($A6="","",COUNTIF(RTM!D2:D200,A6))</f>
        <v/>
      </c>
      <c r="J6" s="57">
        <f>IF($A6="","",COUNTIFS(RTM!D2:D200,A6,RTM!I2:I200,"Cubierto"))</f>
        <v/>
      </c>
      <c r="K6" s="57">
        <f>IF($A6="","",COUNTIF('Fuente casos'!$B$2:$B$500,$A6))</f>
        <v/>
      </c>
      <c r="L6" s="57">
        <f>IF($A6="","",COUNTIFS('Fuente casos'!$B$2:$B$500,$A6,'Fuente casos'!$C$2:$C$500,"Aprobado"))</f>
        <v/>
      </c>
      <c r="M6" s="57">
        <f>IF($A6="","",COUNTIFS('Fuente casos'!$B$2:$B$500,$A6,'Fuente casos'!$C$2:$C$500,"Fallido"))</f>
        <v/>
      </c>
      <c r="N6" s="57">
        <f>IF($A6="","",COUNTIFS('Fuente casos'!$B$2:$B$500,$A6,'Fuente casos'!$C$2:$C$500,"Bloqueado"))</f>
        <v/>
      </c>
      <c r="O6" s="57">
        <f>IF($A6="","",COUNTIFS('Fuente defectos'!$B$2:$B$500,$A6,'Fuente defectos'!$A$2:$A$500,"DEF-*",'Fuente defectos'!$C$2:$C$500,"&lt;&gt;Cerrado",'Fuente defectos'!$C$2:$C$500,"&lt;&gt;Rechazado"))</f>
        <v/>
      </c>
      <c r="P6" s="67">
        <f>IF($A6="","",IF(N(K6)=0,"Sin casos",IF(N(M6)+N(O6)&gt;0,"No pasa",IF(N(L6)=N(K6),"Pasa","Pendiente"))))</f>
        <v/>
      </c>
      <c r="Q6" s="70" t="n"/>
      <c r="R6" s="70" t="n"/>
    </row>
    <row r="7" ht="18.5" customHeight="1" s="27">
      <c r="A7" s="70" t="n"/>
      <c r="B7" s="70" t="n"/>
      <c r="C7" s="70" t="n"/>
      <c r="D7" s="70" t="n"/>
      <c r="E7" s="70" t="n"/>
      <c r="F7" s="70" t="n"/>
      <c r="G7" s="70" t="n"/>
      <c r="H7" s="70" t="n"/>
      <c r="I7" s="57">
        <f>IF($A7="","",COUNTIF(RTM!D2:D200,A7))</f>
        <v/>
      </c>
      <c r="J7" s="57">
        <f>IF($A7="","",COUNTIFS(RTM!D2:D200,A7,RTM!I2:I200,"Cubierto"))</f>
        <v/>
      </c>
      <c r="K7" s="57">
        <f>IF($A7="","",COUNTIF('Fuente casos'!$B$2:$B$500,$A7))</f>
        <v/>
      </c>
      <c r="L7" s="57">
        <f>IF($A7="","",COUNTIFS('Fuente casos'!$B$2:$B$500,$A7,'Fuente casos'!$C$2:$C$500,"Aprobado"))</f>
        <v/>
      </c>
      <c r="M7" s="57">
        <f>IF($A7="","",COUNTIFS('Fuente casos'!$B$2:$B$500,$A7,'Fuente casos'!$C$2:$C$500,"Fallido"))</f>
        <v/>
      </c>
      <c r="N7" s="57">
        <f>IF($A7="","",COUNTIFS('Fuente casos'!$B$2:$B$500,$A7,'Fuente casos'!$C$2:$C$500,"Bloqueado"))</f>
        <v/>
      </c>
      <c r="O7" s="57">
        <f>IF($A7="","",COUNTIFS('Fuente defectos'!$B$2:$B$500,$A7,'Fuente defectos'!$A$2:$A$500,"DEF-*",'Fuente defectos'!$C$2:$C$500,"&lt;&gt;Cerrado",'Fuente defectos'!$C$2:$C$500,"&lt;&gt;Rechazado"))</f>
        <v/>
      </c>
      <c r="P7" s="73">
        <f>IF($A7="","",IF(N(K7)=0,"Sin casos",IF(N(M7)+N(O7)&gt;0,"No pasa",IF(N(L7)=N(K7),"Pasa","Pendiente"))))</f>
        <v/>
      </c>
      <c r="Q7" s="70" t="n"/>
      <c r="R7" s="70" t="n"/>
    </row>
    <row r="8" ht="18.5" customHeight="1" s="27">
      <c r="A8" s="70" t="n"/>
      <c r="B8" s="70" t="n"/>
      <c r="C8" s="70" t="n"/>
      <c r="D8" s="70" t="n"/>
      <c r="E8" s="70" t="n"/>
      <c r="F8" s="70" t="n"/>
      <c r="G8" s="70" t="n"/>
      <c r="H8" s="70" t="n"/>
      <c r="I8" s="57">
        <f>IF($A8="","",COUNTIF(RTM!D2:D200,A8))</f>
        <v/>
      </c>
      <c r="J8" s="57">
        <f>IF($A8="","",COUNTIFS(RTM!D2:D200,A8,RTM!I2:I200,"Cubierto"))</f>
        <v/>
      </c>
      <c r="K8" s="57">
        <f>IF($A8="","",COUNTIF('Fuente casos'!$B$2:$B$500,$A8))</f>
        <v/>
      </c>
      <c r="L8" s="57">
        <f>IF($A8="","",COUNTIFS('Fuente casos'!$B$2:$B$500,$A8,'Fuente casos'!$C$2:$C$500,"Aprobado"))</f>
        <v/>
      </c>
      <c r="M8" s="57">
        <f>IF($A8="","",COUNTIFS('Fuente casos'!$B$2:$B$500,$A8,'Fuente casos'!$C$2:$C$500,"Fallido"))</f>
        <v/>
      </c>
      <c r="N8" s="57">
        <f>IF($A8="","",COUNTIFS('Fuente casos'!$B$2:$B$500,$A8,'Fuente casos'!$C$2:$C$500,"Bloqueado"))</f>
        <v/>
      </c>
      <c r="O8" s="57">
        <f>IF($A8="","",COUNTIFS('Fuente defectos'!$B$2:$B$500,$A8,'Fuente defectos'!$A$2:$A$500,"DEF-*",'Fuente defectos'!$C$2:$C$500,"&lt;&gt;Cerrado",'Fuente defectos'!$C$2:$C$500,"&lt;&gt;Rechazado"))</f>
        <v/>
      </c>
      <c r="P8" s="73">
        <f>IF($A8="","",IF(N(K8)=0,"Sin casos",IF(N(M8)+N(O8)&gt;0,"No pasa",IF(N(L8)=N(K8),"Pasa","Pendiente"))))</f>
        <v/>
      </c>
      <c r="Q8" s="70" t="n"/>
      <c r="R8" s="70" t="n"/>
    </row>
    <row r="9" ht="18.5" customHeight="1" s="27">
      <c r="A9" s="70" t="n"/>
      <c r="B9" s="70" t="n"/>
      <c r="C9" s="70" t="n"/>
      <c r="D9" s="70" t="n"/>
      <c r="E9" s="70" t="n"/>
      <c r="F9" s="70" t="n"/>
      <c r="G9" s="70" t="n"/>
      <c r="H9" s="70" t="n"/>
      <c r="I9" s="57">
        <f>IF($A9="","",COUNTIF(RTM!D2:D200,A9))</f>
        <v/>
      </c>
      <c r="J9" s="57">
        <f>IF($A9="","",COUNTIFS(RTM!D2:D200,A9,RTM!I2:I200,"Cubierto"))</f>
        <v/>
      </c>
      <c r="K9" s="57">
        <f>IF($A9="","",COUNTIF('Fuente casos'!$B$2:$B$500,$A9))</f>
        <v/>
      </c>
      <c r="L9" s="57">
        <f>IF($A9="","",COUNTIFS('Fuente casos'!$B$2:$B$500,$A9,'Fuente casos'!$C$2:$C$500,"Aprobado"))</f>
        <v/>
      </c>
      <c r="M9" s="57">
        <f>IF($A9="","",COUNTIFS('Fuente casos'!$B$2:$B$500,$A9,'Fuente casos'!$C$2:$C$500,"Fallido"))</f>
        <v/>
      </c>
      <c r="N9" s="57">
        <f>IF($A9="","",COUNTIFS('Fuente casos'!$B$2:$B$500,$A9,'Fuente casos'!$C$2:$C$500,"Bloqueado"))</f>
        <v/>
      </c>
      <c r="O9" s="57">
        <f>IF($A9="","",COUNTIFS('Fuente defectos'!$B$2:$B$500,$A9,'Fuente defectos'!$A$2:$A$500,"DEF-*",'Fuente defectos'!$C$2:$C$500,"&lt;&gt;Cerrado",'Fuente defectos'!$C$2:$C$500,"&lt;&gt;Rechazado"))</f>
        <v/>
      </c>
      <c r="P9" s="73">
        <f>IF($A9="","",IF(N(K9)=0,"Sin casos",IF(N(M9)+N(O9)&gt;0,"No pasa",IF(N(L9)=N(K9),"Pasa","Pendiente"))))</f>
        <v/>
      </c>
      <c r="Q9" s="70" t="n"/>
      <c r="R9" s="70" t="n"/>
    </row>
    <row r="10" ht="18.5" customFormat="1" customHeight="1" s="41">
      <c r="A10" s="70" t="n"/>
      <c r="B10" s="70" t="n"/>
      <c r="C10" s="70" t="n"/>
      <c r="D10" s="70" t="n"/>
      <c r="E10" s="70" t="n"/>
      <c r="F10" s="70" t="n"/>
      <c r="G10" s="70" t="n"/>
      <c r="H10" s="70" t="n"/>
      <c r="I10" s="57">
        <f>IF($A10="","",COUNTIF(RTM!D2:D200,A10))</f>
        <v/>
      </c>
      <c r="J10" s="57">
        <f>IF($A10="","",COUNTIFS(RTM!D2:D200,A10,RTM!I2:I200,"Cubierto"))</f>
        <v/>
      </c>
      <c r="K10" s="57">
        <f>IF($A10="","",COUNTIF('Fuente casos'!$B$2:$B$500,$A10))</f>
        <v/>
      </c>
      <c r="L10" s="57">
        <f>IF($A10="","",COUNTIFS('Fuente casos'!$B$2:$B$500,$A10,'Fuente casos'!$C$2:$C$500,"Aprobado"))</f>
        <v/>
      </c>
      <c r="M10" s="57">
        <f>IF($A10="","",COUNTIFS('Fuente casos'!$B$2:$B$500,$A10,'Fuente casos'!$C$2:$C$500,"Fallido"))</f>
        <v/>
      </c>
      <c r="N10" s="57">
        <f>IF($A10="","",COUNTIFS('Fuente casos'!$B$2:$B$500,$A10,'Fuente casos'!$C$2:$C$500,"Bloqueado"))</f>
        <v/>
      </c>
      <c r="O10" s="57">
        <f>IF($A10="","",COUNTIFS('Fuente defectos'!$B$2:$B$500,$A10,'Fuente defectos'!$A$2:$A$500,"DEF-*",'Fuente defectos'!$C$2:$C$500,"&lt;&gt;Cerrado",'Fuente defectos'!$C$2:$C$500,"&lt;&gt;Rechazado"))</f>
        <v/>
      </c>
      <c r="P10" s="73">
        <f>IF($A10="","",IF(N(K10)=0,"Sin casos",IF(N(M10)+N(O10)&gt;0,"No pasa",IF(N(L10)=N(K10),"Pasa","Pendiente"))))</f>
        <v/>
      </c>
      <c r="Q10" s="70" t="n"/>
      <c r="R10" s="70" t="n"/>
    </row>
    <row r="11" ht="18.5" customHeight="1" s="27">
      <c r="A11" s="70" t="n"/>
      <c r="B11" s="70" t="n"/>
      <c r="C11" s="70" t="n"/>
      <c r="D11" s="70" t="n"/>
      <c r="E11" s="70" t="n"/>
      <c r="F11" s="70" t="n"/>
      <c r="G11" s="70" t="n"/>
      <c r="H11" s="70" t="n"/>
      <c r="I11" s="57">
        <f>IF($A11="","",COUNTIF(RTM!D2:D200,A11))</f>
        <v/>
      </c>
      <c r="J11" s="57">
        <f>IF($A11="","",COUNTIFS(RTM!D2:D200,A11,RTM!I2:I200,"Cubierto"))</f>
        <v/>
      </c>
      <c r="K11" s="57">
        <f>IF($A11="","",COUNTIF('Fuente casos'!$B$2:$B$500,$A11))</f>
        <v/>
      </c>
      <c r="L11" s="57">
        <f>IF($A11="","",COUNTIFS('Fuente casos'!$B$2:$B$500,$A11,'Fuente casos'!$C$2:$C$500,"Aprobado"))</f>
        <v/>
      </c>
      <c r="M11" s="57">
        <f>IF($A11="","",COUNTIFS('Fuente casos'!$B$2:$B$500,$A11,'Fuente casos'!$C$2:$C$500,"Fallido"))</f>
        <v/>
      </c>
      <c r="N11" s="57">
        <f>IF($A11="","",COUNTIFS('Fuente casos'!$B$2:$B$500,$A11,'Fuente casos'!$C$2:$C$500,"Bloqueado"))</f>
        <v/>
      </c>
      <c r="O11" s="57">
        <f>IF($A11="","",COUNTIFS('Fuente defectos'!$B$2:$B$500,$A11,'Fuente defectos'!$A$2:$A$500,"DEF-*",'Fuente defectos'!$C$2:$C$500,"&lt;&gt;Cerrado",'Fuente defectos'!$C$2:$C$500,"&lt;&gt;Rechazado"))</f>
        <v/>
      </c>
      <c r="P11" s="73">
        <f>IF($A11="","",IF(N(K11)=0,"Sin casos",IF(N(M11)+N(O11)&gt;0,"No pasa",IF(N(L11)=N(K11),"Pasa","Pendiente"))))</f>
        <v/>
      </c>
      <c r="Q11" s="70" t="n"/>
      <c r="R11" s="70" t="n"/>
    </row>
    <row r="12" ht="18.5" customHeight="1" s="27">
      <c r="A12" s="70" t="n"/>
      <c r="B12" s="70" t="n"/>
      <c r="C12" s="70" t="n"/>
      <c r="D12" s="70" t="n"/>
      <c r="E12" s="70" t="n"/>
      <c r="F12" s="70" t="n"/>
      <c r="G12" s="70" t="n"/>
      <c r="H12" s="70" t="n"/>
      <c r="I12" s="57">
        <f>IF($A12="","",COUNTIF(RTM!D2:D200,A12))</f>
        <v/>
      </c>
      <c r="J12" s="57">
        <f>IF($A12="","",COUNTIFS(RTM!D2:D200,A12,RTM!I2:I200,"Cubierto"))</f>
        <v/>
      </c>
      <c r="K12" s="57">
        <f>IF($A12="","",COUNTIF('Fuente casos'!$B$2:$B$500,$A12))</f>
        <v/>
      </c>
      <c r="L12" s="57">
        <f>IF($A12="","",COUNTIFS('Fuente casos'!$B$2:$B$500,$A12,'Fuente casos'!$C$2:$C$500,"Aprobado"))</f>
        <v/>
      </c>
      <c r="M12" s="57">
        <f>IF($A12="","",COUNTIFS('Fuente casos'!$B$2:$B$500,$A12,'Fuente casos'!$C$2:$C$500,"Fallido"))</f>
        <v/>
      </c>
      <c r="N12" s="57">
        <f>IF($A12="","",COUNTIFS('Fuente casos'!$B$2:$B$500,$A12,'Fuente casos'!$C$2:$C$500,"Bloqueado"))</f>
        <v/>
      </c>
      <c r="O12" s="57">
        <f>IF($A12="","",COUNTIFS('Fuente defectos'!$B$2:$B$500,$A12,'Fuente defectos'!$A$2:$A$500,"DEF-*",'Fuente defectos'!$C$2:$C$500,"&lt;&gt;Cerrado",'Fuente defectos'!$C$2:$C$500,"&lt;&gt;Rechazado"))</f>
        <v/>
      </c>
      <c r="P12" s="73">
        <f>IF($A12="","",IF(N(K12)=0,"Sin casos",IF(N(M12)+N(O12)&gt;0,"No pasa",IF(N(L12)=N(K12),"Pasa","Pendiente"))))</f>
        <v/>
      </c>
      <c r="Q12" s="70" t="n"/>
      <c r="R12" s="70" t="n"/>
    </row>
    <row r="13" ht="18.5" customHeight="1" s="27">
      <c r="A13" s="70" t="n"/>
      <c r="B13" s="70" t="n"/>
      <c r="C13" s="70" t="n"/>
      <c r="D13" s="70" t="n"/>
      <c r="E13" s="70" t="n"/>
      <c r="F13" s="70" t="n"/>
      <c r="G13" s="70" t="n"/>
      <c r="H13" s="70" t="n"/>
      <c r="I13" s="57">
        <f>IF($A13="","",COUNTIF(RTM!D2:D200,A13))</f>
        <v/>
      </c>
      <c r="J13" s="57">
        <f>IF($A13="","",COUNTIFS(RTM!D2:D200,A13,RTM!I2:I200,"Cubierto"))</f>
        <v/>
      </c>
      <c r="K13" s="57">
        <f>IF($A13="","",COUNTIF('Fuente casos'!$B$2:$B$500,$A13))</f>
        <v/>
      </c>
      <c r="L13" s="57">
        <f>IF($A13="","",COUNTIFS('Fuente casos'!$B$2:$B$500,$A13,'Fuente casos'!$C$2:$C$500,"Aprobado"))</f>
        <v/>
      </c>
      <c r="M13" s="57">
        <f>IF($A13="","",COUNTIFS('Fuente casos'!$B$2:$B$500,$A13,'Fuente casos'!$C$2:$C$500,"Fallido"))</f>
        <v/>
      </c>
      <c r="N13" s="57">
        <f>IF($A13="","",COUNTIFS('Fuente casos'!$B$2:$B$500,$A13,'Fuente casos'!$C$2:$C$500,"Bloqueado"))</f>
        <v/>
      </c>
      <c r="O13" s="57">
        <f>IF($A13="","",COUNTIFS('Fuente defectos'!$B$2:$B$500,$A13,'Fuente defectos'!$A$2:$A$500,"DEF-*",'Fuente defectos'!$C$2:$C$500,"&lt;&gt;Cerrado",'Fuente defectos'!$C$2:$C$500,"&lt;&gt;Rechazado"))</f>
        <v/>
      </c>
      <c r="P13" s="57">
        <f>IF($A13="","",IF(N(K13)=0,"Sin casos",IF(N(M13)+N(O13)&gt;0,"No pasa",IF(N(L13)=N(K13),"Pasa","Pendiente"))))</f>
        <v/>
      </c>
      <c r="Q13" s="70" t="n"/>
      <c r="R13" s="70" t="n"/>
    </row>
    <row r="14" ht="18.5" customHeight="1" s="27">
      <c r="A14" s="70" t="n"/>
      <c r="B14" s="70" t="n"/>
      <c r="C14" s="70" t="n"/>
      <c r="D14" s="70" t="n"/>
      <c r="E14" s="70" t="n"/>
      <c r="F14" s="70" t="n"/>
      <c r="G14" s="70" t="n"/>
      <c r="H14" s="70" t="n"/>
      <c r="I14" s="57">
        <f>IF($A14="","",COUNTIF(RTM!D2:D200,A14))</f>
        <v/>
      </c>
      <c r="J14" s="57">
        <f>IF($A14="","",COUNTIFS(RTM!D2:D200,A14,RTM!I2:I200,"Cubierto"))</f>
        <v/>
      </c>
      <c r="K14" s="57">
        <f>IF($A14="","",COUNTIF('Fuente casos'!$B$2:$B$500,$A14))</f>
        <v/>
      </c>
      <c r="L14" s="57">
        <f>IF($A14="","",COUNTIFS('Fuente casos'!$B$2:$B$500,$A14,'Fuente casos'!$C$2:$C$500,"Aprobado"))</f>
        <v/>
      </c>
      <c r="M14" s="57">
        <f>IF($A14="","",COUNTIFS('Fuente casos'!$B$2:$B$500,$A14,'Fuente casos'!$C$2:$C$500,"Fallido"))</f>
        <v/>
      </c>
      <c r="N14" s="57">
        <f>IF($A14="","",COUNTIFS('Fuente casos'!$B$2:$B$500,$A14,'Fuente casos'!$C$2:$C$500,"Bloqueado"))</f>
        <v/>
      </c>
      <c r="O14" s="57">
        <f>IF($A14="","",COUNTIFS('Fuente defectos'!$B$2:$B$500,$A14,'Fuente defectos'!$A$2:$A$500,"DEF-*",'Fuente defectos'!$C$2:$C$500,"&lt;&gt;Cerrado",'Fuente defectos'!$C$2:$C$500,"&lt;&gt;Rechazado"))</f>
        <v/>
      </c>
      <c r="P14" s="57">
        <f>IF($A14="","",IF(N(K14)=0,"Sin casos",IF(N(M14)+N(O14)&gt;0,"No pasa",IF(N(L14)=N(K14),"Pasa","Pendiente"))))</f>
        <v/>
      </c>
      <c r="Q14" s="70" t="n"/>
      <c r="R14" s="70" t="n"/>
    </row>
  </sheetData>
  <conditionalFormatting sqref="P2:P50">
    <cfRule type="cellIs" rank="0" priority="2" equalAverage="0" operator="equal" aboveAverage="0" dxfId="2" text="" percent="0" bottom="0">
      <formula>"No pasa"</formula>
    </cfRule>
    <cfRule type="cellIs" rank="0" priority="3" equalAverage="0" operator="equal" aboveAverage="0" dxfId="3" text="" percent="0" bottom="0">
      <formula>"No pasa (menor)"</formula>
    </cfRule>
    <cfRule type="cellIs" rank="0" priority="4" equalAverage="0" operator="equal" aboveAverage="0" dxfId="1" text="" percent="0" bottom="0">
      <formula>"Pasa"</formula>
    </cfRule>
    <cfRule type="expression" rank="0" priority="5" equalAverage="0" aboveAverage="0" dxfId="1" text="" percent="0" bottom="0">
      <formula>LEFT($P2,5)="Pasa "</formula>
    </cfRule>
  </conditionalFormatting>
  <dataValidations count="1">
    <dataValidation sqref="E2:E200" showDropDown="0" showInputMessage="0" showErrorMessage="0" allowBlank="1" errorTitle="Valor no válido" error="Elige un valor de la lista." type="list" errorStyle="stop" operator="between">
      <formula1>"Por hacer,En curso,En revisión,Testeo,Listo"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6" min="1" max="1"/>
    <col width="16" customWidth="1" style="26" min="2" max="3"/>
  </cols>
  <sheetData>
    <row r="1" ht="21" customHeight="1" s="27">
      <c r="A1" s="97" t="inlineStr">
        <is>
          <t>Resumen de cobertura</t>
        </is>
      </c>
      <c r="B1" s="54" t="n"/>
      <c r="C1" s="54" t="n"/>
    </row>
    <row r="2" s="27">
      <c r="A2" s="54" t="n"/>
      <c r="B2" s="54" t="n"/>
      <c r="C2" s="54" t="n"/>
    </row>
    <row r="3" ht="18.5" customHeight="1" s="27">
      <c r="A3" s="98" t="inlineStr">
        <is>
          <t>Se calcula solo. No escribir en esta hoja.</t>
        </is>
      </c>
      <c r="B3" s="54" t="n"/>
      <c r="C3" s="54" t="n"/>
    </row>
    <row r="4" s="27">
      <c r="A4" s="54" t="n"/>
      <c r="B4" s="54" t="n"/>
      <c r="C4" s="54" t="n"/>
    </row>
    <row r="5" ht="18.5" customHeight="1" s="27">
      <c r="A5" s="90" t="inlineStr">
        <is>
          <t>Cobertura de requisitos</t>
        </is>
      </c>
      <c r="B5" s="54" t="n"/>
      <c r="C5" s="54" t="n"/>
    </row>
    <row r="6" ht="18.5" customHeight="1" s="27">
      <c r="A6" s="99" t="inlineStr">
        <is>
          <t>Indicador</t>
        </is>
      </c>
      <c r="B6" s="99" t="inlineStr">
        <is>
          <t>Cantidad</t>
        </is>
      </c>
      <c r="C6" s="99" t="inlineStr">
        <is>
          <t>% del total</t>
        </is>
      </c>
    </row>
    <row r="7" ht="18.5" customHeight="1" s="27">
      <c r="A7" s="100" t="inlineStr">
        <is>
          <t>Requisitos registrados</t>
        </is>
      </c>
      <c r="B7" s="100">
        <f>COUNTA(RTM!A2:A200)</f>
        <v/>
      </c>
      <c r="C7" s="78" t="n"/>
    </row>
    <row r="8" ht="18.5" customHeight="1" s="27">
      <c r="A8" s="100" t="inlineStr">
        <is>
          <t>Requisitos cubiertos</t>
        </is>
      </c>
      <c r="B8" s="100">
        <f>COUNTIF(RTM!I2:I200,"Cubierto")</f>
        <v/>
      </c>
      <c r="C8" s="101">
        <f>IF(B7=0,0,B8/B7)</f>
        <v/>
      </c>
    </row>
    <row r="9" ht="18.5" customHeight="1" s="27">
      <c r="A9" s="100" t="inlineStr">
        <is>
          <t>Requisitos sin cubrir</t>
        </is>
      </c>
      <c r="B9" s="100">
        <f>COUNTIF(RTM!I2:I200,"Sin cubrir")</f>
        <v/>
      </c>
      <c r="C9" s="101">
        <f>IF(B7=0,0,B9/B7)</f>
        <v/>
      </c>
    </row>
    <row r="10" s="27">
      <c r="A10" s="54" t="n"/>
      <c r="B10" s="54" t="n"/>
      <c r="C10" s="54" t="n"/>
    </row>
    <row r="11" ht="18.5" customHeight="1" s="27">
      <c r="A11" s="90" t="inlineStr">
        <is>
          <t>Estado de ejecución</t>
        </is>
      </c>
      <c r="B11" s="54" t="n"/>
      <c r="C11" s="54" t="n"/>
    </row>
    <row r="12" ht="18.5" customHeight="1" s="27">
      <c r="A12" s="99" t="inlineStr">
        <is>
          <t>Indicador</t>
        </is>
      </c>
      <c r="B12" s="99" t="inlineStr">
        <is>
          <t>Cantidad</t>
        </is>
      </c>
      <c r="C12" s="99" t="inlineStr">
        <is>
          <t>% del total</t>
        </is>
      </c>
    </row>
    <row r="13" ht="18.5" customHeight="1" s="27">
      <c r="A13" s="100" t="inlineStr">
        <is>
          <t>Requisitos registrados</t>
        </is>
      </c>
      <c r="B13" s="100">
        <f>COUNTA(RTM!A2:A200)</f>
        <v/>
      </c>
      <c r="C13" s="78" t="n"/>
    </row>
    <row r="14" ht="18.5" customHeight="1" s="27">
      <c r="A14" s="100" t="inlineStr">
        <is>
          <t>Pendiente</t>
        </is>
      </c>
      <c r="B14" s="100">
        <f>COUNTIF(RTM!J2:J200,"Pendiente")</f>
        <v/>
      </c>
      <c r="C14" s="101">
        <f>IF(B13=0,0,B14/B13)</f>
        <v/>
      </c>
    </row>
    <row r="15" ht="18.5" customHeight="1" s="27">
      <c r="A15" s="100" t="inlineStr">
        <is>
          <t>Aprobado</t>
        </is>
      </c>
      <c r="B15" s="100">
        <f>COUNTIF(RTM!J2:J200,"Aprobado")</f>
        <v/>
      </c>
      <c r="C15" s="101">
        <f>IF(B13=0,0,B15/B13)</f>
        <v/>
      </c>
    </row>
    <row r="16" ht="18.5" customHeight="1" s="27">
      <c r="A16" s="100" t="inlineStr">
        <is>
          <t>Fallido</t>
        </is>
      </c>
      <c r="B16" s="100">
        <f>COUNTIF(RTM!J2:J200,"Fallido")</f>
        <v/>
      </c>
      <c r="C16" s="101">
        <f>IF(B13=0,0,B16/B13)</f>
        <v/>
      </c>
    </row>
    <row r="17" ht="18.5" customHeight="1" s="27">
      <c r="A17" s="100" t="inlineStr">
        <is>
          <t>Bloqueado</t>
        </is>
      </c>
      <c r="B17" s="100">
        <f>COUNTIF(RTM!J2:J200,"Bloqueado")</f>
        <v/>
      </c>
      <c r="C17" s="101">
        <f>IF(B13=0,0,B17/B13)</f>
        <v/>
      </c>
    </row>
    <row r="18" ht="18.5" customHeight="1" s="27">
      <c r="A18" s="100" t="inlineStr">
        <is>
          <t>No aplica</t>
        </is>
      </c>
      <c r="B18" s="100">
        <f>COUNTIF(RTM!J2:J200,"No aplica")</f>
        <v/>
      </c>
      <c r="C18" s="101">
        <f>IF(B13=0,0,B18/B13)</f>
        <v/>
      </c>
    </row>
    <row r="19" ht="18.5" customHeight="1" s="27">
      <c r="A19" s="100" t="inlineStr">
        <is>
          <t>Parcial</t>
        </is>
      </c>
      <c r="B19" s="100">
        <f>COUNTIF(RTM!J2:J200,"Parcial*")</f>
        <v/>
      </c>
      <c r="C19" s="101">
        <f>IF(B13=0,0,B19/B13)</f>
        <v/>
      </c>
    </row>
    <row r="20" s="27">
      <c r="A20" s="54" t="n"/>
      <c r="B20" s="54" t="n"/>
      <c r="C20" s="54" t="n"/>
    </row>
    <row r="21" ht="18.5" customHeight="1" s="27">
      <c r="A21" s="90" t="inlineStr">
        <is>
          <t>Requisitos de prioridad Alta</t>
        </is>
      </c>
      <c r="B21" s="54" t="n"/>
      <c r="C21" s="54" t="n"/>
    </row>
    <row r="22" ht="18.5" customHeight="1" s="27">
      <c r="A22" s="99" t="inlineStr">
        <is>
          <t>Indicador</t>
        </is>
      </c>
      <c r="B22" s="99" t="inlineStr">
        <is>
          <t>Cantidad</t>
        </is>
      </c>
      <c r="C22" s="99" t="inlineStr">
        <is>
          <t>% del total</t>
        </is>
      </c>
    </row>
    <row r="23" ht="18.5" customHeight="1" s="27">
      <c r="A23" s="100" t="inlineStr">
        <is>
          <t>Requisitos de prioridad Alta</t>
        </is>
      </c>
      <c r="B23" s="100">
        <f>COUNTIF(RTM!F2:F200,"Alta")</f>
        <v/>
      </c>
      <c r="C23" s="78" t="n"/>
    </row>
    <row r="24" ht="18.5" customHeight="1" s="27">
      <c r="A24" s="100" t="inlineStr">
        <is>
          <t>Prioridad Alta aprobados</t>
        </is>
      </c>
      <c r="B24" s="100">
        <f>COUNTIFS(RTM!F2:F200,"Alta",RTM!J2:J200,"Aprobado")</f>
        <v/>
      </c>
      <c r="C24" s="101">
        <f>IF(B23=0,0,B24/B23)</f>
        <v/>
      </c>
    </row>
    <row r="25" s="27">
      <c r="A25" s="54" t="n"/>
      <c r="B25" s="54" t="n"/>
      <c r="C25" s="54" t="n"/>
    </row>
    <row r="26" ht="18.5" customHeight="1" s="27">
      <c r="A26" s="98" t="inlineStr">
        <is>
          <t>El detalle de casos aprobados, fallidos y pendientes está en Casos_de_Prueba.xlsx (carpeta 02).</t>
        </is>
      </c>
      <c r="B26" s="54" t="n"/>
      <c r="C26" s="54" t="n"/>
    </row>
    <row r="27" s="27">
      <c r="A27" s="54" t="n"/>
      <c r="B27" s="54" t="n"/>
      <c r="C27" s="54" t="n"/>
    </row>
    <row r="28" ht="18.5" customHeight="1" s="27">
      <c r="A28" s="102" t="inlineStr">
        <is>
          <t>Criterio de cierre: ningún requisito sin cubrir y ninguno en estado Fallido.</t>
        </is>
      </c>
    </row>
  </sheetData>
  <mergeCells count="1">
    <mergeCell ref="A28:C2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tabColor rgb="004C6441"/>
    <outlinePr summaryBelow="1" summaryRight="1"/>
    <pageSetUpPr/>
  </sheetPr>
  <dimension ref="A1:E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2" customWidth="1" style="27" min="2" max="2"/>
    <col width="16" customWidth="1" style="27" min="3" max="3"/>
  </cols>
  <sheetData>
    <row r="1" s="27">
      <c r="A1" s="84" t="inlineStr">
        <is>
          <t>ID</t>
        </is>
      </c>
      <c r="B1" s="84" t="inlineStr">
        <is>
          <t>Historia</t>
        </is>
      </c>
      <c r="C1" s="84" t="inlineStr">
        <is>
          <t>Estado</t>
        </is>
      </c>
      <c r="D1" s="54" t="n"/>
      <c r="E1" s="85" t="inlineStr">
        <is>
          <t>Se llena con sincronizar_rtm.py desde el libro de origen. No editar a mano.</t>
        </is>
      </c>
    </row>
    <row r="2" s="27">
      <c r="A2" s="86" t="inlineStr">
        <is>
          <t>CP-001</t>
        </is>
      </c>
      <c r="B2" s="86" t="inlineStr">
        <is>
          <t>HT-06</t>
        </is>
      </c>
      <c r="C2" s="86" t="inlineStr">
        <is>
          <t>Aprobado</t>
        </is>
      </c>
      <c r="D2" s="54" t="n"/>
      <c r="E2" s="54" t="n"/>
    </row>
    <row r="3" s="27">
      <c r="A3" s="86" t="inlineStr">
        <is>
          <t>CP-002</t>
        </is>
      </c>
      <c r="B3" s="86" t="inlineStr">
        <is>
          <t>HT-06</t>
        </is>
      </c>
      <c r="C3" s="86" t="inlineStr">
        <is>
          <t>Aprobado</t>
        </is>
      </c>
      <c r="D3" s="54" t="n"/>
      <c r="E3" s="54" t="n"/>
    </row>
    <row r="4" s="27">
      <c r="A4" s="86" t="inlineStr">
        <is>
          <t>CP-003</t>
        </is>
      </c>
      <c r="B4" s="86" t="inlineStr">
        <is>
          <t>HT-06</t>
        </is>
      </c>
      <c r="C4" s="86" t="inlineStr">
        <is>
          <t>Aprobado</t>
        </is>
      </c>
      <c r="D4" s="54" t="n"/>
      <c r="E4" s="54" t="n"/>
    </row>
    <row r="5" s="27">
      <c r="A5" s="86" t="inlineStr">
        <is>
          <t>CP-004</t>
        </is>
      </c>
      <c r="B5" s="86" t="inlineStr">
        <is>
          <t>HT-06</t>
        </is>
      </c>
      <c r="C5" s="86" t="inlineStr">
        <is>
          <t>Fallido</t>
        </is>
      </c>
      <c r="D5" s="54" t="n"/>
      <c r="E5" s="54" t="n"/>
    </row>
    <row r="6" s="27">
      <c r="A6" s="86" t="inlineStr">
        <is>
          <t>CP-005</t>
        </is>
      </c>
      <c r="B6" s="86" t="inlineStr">
        <is>
          <t>HT-06</t>
        </is>
      </c>
      <c r="C6" s="86" t="inlineStr">
        <is>
          <t>Bloqueado</t>
        </is>
      </c>
      <c r="D6" s="54" t="n"/>
      <c r="E6" s="54" t="n"/>
    </row>
    <row r="7" s="27">
      <c r="A7" s="86" t="inlineStr">
        <is>
          <t>CP-006</t>
        </is>
      </c>
      <c r="B7" s="86" t="inlineStr">
        <is>
          <t>HT-06</t>
        </is>
      </c>
      <c r="C7" s="86" t="inlineStr">
        <is>
          <t>Fallido</t>
        </is>
      </c>
      <c r="D7" s="54" t="n"/>
      <c r="E7" s="54" t="n"/>
    </row>
    <row r="8" s="27">
      <c r="A8" s="86" t="inlineStr">
        <is>
          <t>CP-007</t>
        </is>
      </c>
      <c r="B8" s="86" t="inlineStr">
        <is>
          <t>HT-06</t>
        </is>
      </c>
      <c r="C8" s="86" t="inlineStr">
        <is>
          <t>Fallido</t>
        </is>
      </c>
      <c r="D8" s="54" t="n"/>
      <c r="E8" s="54" t="n"/>
    </row>
    <row r="9" s="27">
      <c r="A9" s="86" t="inlineStr">
        <is>
          <t>CP-008</t>
        </is>
      </c>
      <c r="B9" s="86" t="inlineStr">
        <is>
          <t>HT-06</t>
        </is>
      </c>
      <c r="C9" s="86" t="inlineStr">
        <is>
          <t>Fallido</t>
        </is>
      </c>
      <c r="D9" s="54" t="n"/>
      <c r="E9" s="54" t="n"/>
    </row>
    <row r="10" s="27">
      <c r="A10" s="86" t="inlineStr">
        <is>
          <t>CP-009</t>
        </is>
      </c>
      <c r="B10" s="86" t="inlineStr">
        <is>
          <t>HT-06</t>
        </is>
      </c>
      <c r="C10" s="86" t="inlineStr">
        <is>
          <t>Aprobado</t>
        </is>
      </c>
      <c r="D10" s="54" t="n"/>
      <c r="E10" s="54" t="n"/>
    </row>
    <row r="11" s="27">
      <c r="A11" s="86" t="inlineStr">
        <is>
          <t>CP-010</t>
        </is>
      </c>
      <c r="B11" s="86" t="inlineStr">
        <is>
          <t>HT-06</t>
        </is>
      </c>
      <c r="C11" s="86" t="inlineStr">
        <is>
          <t>Bloqueado</t>
        </is>
      </c>
      <c r="D11" s="54" t="n"/>
      <c r="E11" s="54" t="n"/>
    </row>
    <row r="12" s="27">
      <c r="A12" s="86" t="inlineStr">
        <is>
          <t>CP-011</t>
        </is>
      </c>
      <c r="B12" s="86" t="inlineStr">
        <is>
          <t>HT-06</t>
        </is>
      </c>
      <c r="C12" s="86" t="inlineStr">
        <is>
          <t>Bloqueado</t>
        </is>
      </c>
      <c r="D12" s="54" t="n"/>
      <c r="E12" s="54" t="n"/>
    </row>
    <row r="13" s="27">
      <c r="A13" s="86" t="inlineStr">
        <is>
          <t>CP-012</t>
        </is>
      </c>
      <c r="B13" s="86" t="inlineStr">
        <is>
          <t>HT-06</t>
        </is>
      </c>
      <c r="C13" s="86" t="inlineStr">
        <is>
          <t>Bloqueado</t>
        </is>
      </c>
      <c r="D13" s="54" t="n"/>
      <c r="E13" s="54" t="n"/>
    </row>
    <row r="14" s="27">
      <c r="A14" s="86" t="inlineStr">
        <is>
          <t>CP-013</t>
        </is>
      </c>
      <c r="B14" s="86" t="inlineStr">
        <is>
          <t>HT-06</t>
        </is>
      </c>
      <c r="C14" s="86" t="inlineStr">
        <is>
          <t>Bloqueado</t>
        </is>
      </c>
      <c r="D14" s="54" t="n"/>
      <c r="E14" s="54" t="n"/>
    </row>
    <row r="15" s="27">
      <c r="A15" s="86" t="inlineStr">
        <is>
          <t>CP-014</t>
        </is>
      </c>
      <c r="B15" s="86" t="inlineStr">
        <is>
          <t>HT-06</t>
        </is>
      </c>
      <c r="C15" s="86" t="inlineStr">
        <is>
          <t>Bloqueado</t>
        </is>
      </c>
      <c r="D15" s="54" t="n"/>
      <c r="E15" s="54" t="n"/>
    </row>
    <row r="16" s="27">
      <c r="A16" s="86" t="inlineStr">
        <is>
          <t>CP-015</t>
        </is>
      </c>
      <c r="B16" s="86" t="inlineStr">
        <is>
          <t>HT-06</t>
        </is>
      </c>
      <c r="C16" s="86" t="inlineStr">
        <is>
          <t>Bloqueado</t>
        </is>
      </c>
      <c r="D16" s="54" t="n"/>
      <c r="E16" s="54" t="n"/>
    </row>
    <row r="17" s="27">
      <c r="A17" s="86" t="inlineStr">
        <is>
          <t>CP-016</t>
        </is>
      </c>
      <c r="B17" s="86" t="inlineStr">
        <is>
          <t>HT-06</t>
        </is>
      </c>
      <c r="C17" s="86" t="inlineStr">
        <is>
          <t>Bloqueado</t>
        </is>
      </c>
      <c r="D17" s="54" t="n"/>
      <c r="E17" s="54" t="n"/>
    </row>
    <row r="18" s="27">
      <c r="A18" s="86" t="inlineStr">
        <is>
          <t>CP-017</t>
        </is>
      </c>
      <c r="B18" s="86" t="inlineStr">
        <is>
          <t>HT-06</t>
        </is>
      </c>
      <c r="C18" s="86" t="inlineStr">
        <is>
          <t>Bloqueado</t>
        </is>
      </c>
      <c r="D18" s="54" t="n"/>
      <c r="E18" s="54" t="n"/>
    </row>
    <row r="19" s="27">
      <c r="A19" s="86" t="inlineStr">
        <is>
          <t>CP-018</t>
        </is>
      </c>
      <c r="B19" s="86" t="inlineStr">
        <is>
          <t>HT-06</t>
        </is>
      </c>
      <c r="C19" s="86" t="inlineStr">
        <is>
          <t>Aprobado</t>
        </is>
      </c>
      <c r="D19" s="54" t="n"/>
      <c r="E19" s="54" t="n"/>
    </row>
    <row r="20" s="27">
      <c r="A20" s="86" t="inlineStr">
        <is>
          <t>CP-019</t>
        </is>
      </c>
      <c r="B20" s="86" t="inlineStr">
        <is>
          <t>HT-06</t>
        </is>
      </c>
      <c r="C20" s="86" t="inlineStr">
        <is>
          <t>Aprobado</t>
        </is>
      </c>
      <c r="D20" s="54" t="n"/>
      <c r="E20" s="54" t="n"/>
    </row>
    <row r="21" s="27">
      <c r="A21" s="86" t="inlineStr">
        <is>
          <t>CP-020</t>
        </is>
      </c>
      <c r="B21" s="86" t="inlineStr">
        <is>
          <t>HT-06</t>
        </is>
      </c>
      <c r="C21" s="86" t="inlineStr">
        <is>
          <t>Aprobado</t>
        </is>
      </c>
      <c r="D21" s="54" t="n"/>
      <c r="E21" s="54" t="n"/>
    </row>
    <row r="22" s="27">
      <c r="A22" s="86" t="inlineStr">
        <is>
          <t>CP-021</t>
        </is>
      </c>
      <c r="B22" s="86" t="inlineStr">
        <is>
          <t>HT-06</t>
        </is>
      </c>
      <c r="C22" s="86" t="inlineStr">
        <is>
          <t>Aprobado</t>
        </is>
      </c>
      <c r="D22" s="54" t="n"/>
      <c r="E22" s="54" t="n"/>
    </row>
    <row r="23" s="27">
      <c r="A23" s="86" t="inlineStr">
        <is>
          <t>CP-022</t>
        </is>
      </c>
      <c r="B23" s="86" t="inlineStr">
        <is>
          <t>HT-06</t>
        </is>
      </c>
      <c r="C23" s="86" t="inlineStr">
        <is>
          <t>Aprobado</t>
        </is>
      </c>
      <c r="D23" s="54" t="n"/>
      <c r="E23" s="54" t="n"/>
    </row>
    <row r="24" s="27">
      <c r="A24" s="86" t="inlineStr">
        <is>
          <t>CP-023</t>
        </is>
      </c>
      <c r="B24" s="86" t="inlineStr">
        <is>
          <t>HT-06</t>
        </is>
      </c>
      <c r="C24" s="86" t="inlineStr">
        <is>
          <t>Fallido</t>
        </is>
      </c>
      <c r="D24" s="54" t="n"/>
      <c r="E24" s="54" t="n"/>
    </row>
    <row r="25" s="27">
      <c r="A25" s="86" t="inlineStr">
        <is>
          <t>CP-024</t>
        </is>
      </c>
      <c r="B25" s="86" t="inlineStr">
        <is>
          <t>HT-06</t>
        </is>
      </c>
      <c r="C25" s="86" t="inlineStr">
        <is>
          <t>Fallido</t>
        </is>
      </c>
      <c r="D25" s="54" t="n"/>
      <c r="E25" s="54" t="n"/>
    </row>
    <row r="26" s="27">
      <c r="A26" s="86" t="inlineStr">
        <is>
          <t>CP-025</t>
        </is>
      </c>
      <c r="B26" s="86" t="inlineStr">
        <is>
          <t>HT-06</t>
        </is>
      </c>
      <c r="C26" s="86" t="inlineStr">
        <is>
          <t>Bloqueado</t>
        </is>
      </c>
      <c r="D26" s="54" t="n"/>
      <c r="E26" s="54" t="n"/>
    </row>
    <row r="27" s="27">
      <c r="A27" s="86" t="inlineStr">
        <is>
          <t>CP-026</t>
        </is>
      </c>
      <c r="B27" s="86" t="inlineStr">
        <is>
          <t>HT-06</t>
        </is>
      </c>
      <c r="C27" s="86" t="inlineStr">
        <is>
          <t>Bloqueado</t>
        </is>
      </c>
      <c r="D27" s="54" t="n"/>
      <c r="E27" s="54" t="n"/>
    </row>
    <row r="28" s="27">
      <c r="A28" s="86" t="inlineStr">
        <is>
          <t>CP-027</t>
        </is>
      </c>
      <c r="B28" s="86" t="inlineStr">
        <is>
          <t>HT-06</t>
        </is>
      </c>
      <c r="C28" s="86" t="inlineStr">
        <is>
          <t>Bloqueado</t>
        </is>
      </c>
      <c r="D28" s="54" t="n"/>
      <c r="E28" s="54" t="n"/>
    </row>
    <row r="29" s="27">
      <c r="A29" s="86" t="inlineStr">
        <is>
          <t>CP-028</t>
        </is>
      </c>
      <c r="B29" s="86" t="inlineStr">
        <is>
          <t>HT-06</t>
        </is>
      </c>
      <c r="C29" s="86" t="inlineStr">
        <is>
          <t>Aprobado</t>
        </is>
      </c>
      <c r="D29" s="54" t="n"/>
      <c r="E29" s="54" t="n"/>
    </row>
    <row r="30" s="27">
      <c r="A30" s="86" t="inlineStr">
        <is>
          <t>CP-029</t>
        </is>
      </c>
      <c r="B30" s="86" t="inlineStr">
        <is>
          <t>HT-06</t>
        </is>
      </c>
      <c r="C30" s="86" t="inlineStr">
        <is>
          <t>Aprobado</t>
        </is>
      </c>
      <c r="D30" s="54" t="n"/>
      <c r="E30" s="54" t="n"/>
    </row>
    <row r="31" s="27">
      <c r="A31" s="86" t="inlineStr">
        <is>
          <t>CP-030</t>
        </is>
      </c>
      <c r="B31" s="86" t="inlineStr">
        <is>
          <t>HU-18</t>
        </is>
      </c>
      <c r="C31" s="86" t="inlineStr">
        <is>
          <t>Aprobado</t>
        </is>
      </c>
      <c r="D31" s="54" t="n"/>
      <c r="E31" s="54" t="n"/>
    </row>
    <row r="32" s="27">
      <c r="A32" s="86" t="inlineStr">
        <is>
          <t>CP-031</t>
        </is>
      </c>
      <c r="B32" s="86" t="inlineStr">
        <is>
          <t>HU-18</t>
        </is>
      </c>
      <c r="C32" s="86" t="inlineStr">
        <is>
          <t>Aprobado</t>
        </is>
      </c>
      <c r="D32" s="54" t="n"/>
      <c r="E32" s="54" t="n"/>
    </row>
    <row r="33" s="27">
      <c r="A33" s="86" t="inlineStr">
        <is>
          <t>CP-032</t>
        </is>
      </c>
      <c r="B33" s="86" t="inlineStr">
        <is>
          <t>HU-18</t>
        </is>
      </c>
      <c r="C33" s="86" t="inlineStr">
        <is>
          <t>Aprobado</t>
        </is>
      </c>
      <c r="D33" s="54" t="n"/>
      <c r="E33" s="54" t="n"/>
    </row>
    <row r="34" s="27">
      <c r="A34" s="86" t="inlineStr">
        <is>
          <t>CP-033</t>
        </is>
      </c>
      <c r="B34" s="86" t="inlineStr">
        <is>
          <t>HU-18</t>
        </is>
      </c>
      <c r="C34" s="86" t="inlineStr">
        <is>
          <t>Aprobado</t>
        </is>
      </c>
      <c r="D34" s="54" t="n"/>
      <c r="E34" s="54" t="n"/>
    </row>
    <row r="35" s="27">
      <c r="A35" s="86" t="inlineStr">
        <is>
          <t>CP-034</t>
        </is>
      </c>
      <c r="B35" s="86" t="inlineStr">
        <is>
          <t>HU-18</t>
        </is>
      </c>
      <c r="C35" s="86" t="inlineStr">
        <is>
          <t>Aprobado</t>
        </is>
      </c>
      <c r="D35" s="54" t="n"/>
      <c r="E35" s="54" t="n"/>
    </row>
    <row r="36" s="27">
      <c r="A36" s="86" t="inlineStr">
        <is>
          <t>CP-035</t>
        </is>
      </c>
      <c r="B36" s="86" t="inlineStr">
        <is>
          <t>HU-18</t>
        </is>
      </c>
      <c r="C36" s="86" t="inlineStr">
        <is>
          <t>Aprobado</t>
        </is>
      </c>
      <c r="D36" s="54" t="n"/>
      <c r="E36" s="54" t="n"/>
    </row>
    <row r="37" s="27">
      <c r="A37" s="86" t="inlineStr">
        <is>
          <t>CP-036</t>
        </is>
      </c>
      <c r="B37" s="86" t="inlineStr">
        <is>
          <t>HU-18</t>
        </is>
      </c>
      <c r="C37" s="86" t="inlineStr">
        <is>
          <t>Aprobado</t>
        </is>
      </c>
      <c r="D37" s="54" t="n"/>
      <c r="E37" s="54" t="n"/>
    </row>
    <row r="38" s="27">
      <c r="A38" s="86" t="inlineStr">
        <is>
          <t>CP-037</t>
        </is>
      </c>
      <c r="B38" s="86" t="inlineStr">
        <is>
          <t>HU-18</t>
        </is>
      </c>
      <c r="C38" s="86" t="inlineStr">
        <is>
          <t>Aprobado</t>
        </is>
      </c>
      <c r="D38" s="54" t="n"/>
      <c r="E38" s="54" t="n"/>
    </row>
    <row r="39" s="27">
      <c r="A39" s="86" t="inlineStr">
        <is>
          <t>CP-038</t>
        </is>
      </c>
      <c r="B39" s="86" t="inlineStr">
        <is>
          <t>HU-18</t>
        </is>
      </c>
      <c r="C39" s="86" t="inlineStr">
        <is>
          <t>Aprobado</t>
        </is>
      </c>
      <c r="D39" s="54" t="n"/>
      <c r="E39" s="54" t="n"/>
    </row>
    <row r="40" s="27">
      <c r="A40" s="86" t="inlineStr">
        <is>
          <t>CP-039</t>
        </is>
      </c>
      <c r="B40" s="86" t="inlineStr">
        <is>
          <t>HU-18</t>
        </is>
      </c>
      <c r="C40" s="86" t="inlineStr">
        <is>
          <t>Fallido</t>
        </is>
      </c>
      <c r="D40" s="54" t="n"/>
      <c r="E40" s="54" t="n"/>
    </row>
    <row r="41" s="27">
      <c r="A41" s="86" t="inlineStr">
        <is>
          <t>CP-040</t>
        </is>
      </c>
      <c r="B41" s="86" t="inlineStr">
        <is>
          <t>HU-18</t>
        </is>
      </c>
      <c r="C41" s="86" t="inlineStr">
        <is>
          <t>Aprobado</t>
        </is>
      </c>
      <c r="D41" s="54" t="n"/>
      <c r="E41" s="54" t="n"/>
    </row>
    <row r="42" s="27">
      <c r="A42" s="86" t="inlineStr">
        <is>
          <t>CP-041</t>
        </is>
      </c>
      <c r="B42" s="86" t="inlineStr">
        <is>
          <t>HU-18</t>
        </is>
      </c>
      <c r="C42" s="86" t="inlineStr">
        <is>
          <t>Aprobado</t>
        </is>
      </c>
      <c r="D42" s="54" t="n"/>
      <c r="E42" s="54" t="n"/>
    </row>
    <row r="43" s="27">
      <c r="A43" s="86" t="inlineStr">
        <is>
          <t>CP-042</t>
        </is>
      </c>
      <c r="B43" s="86" t="inlineStr">
        <is>
          <t>HU-18</t>
        </is>
      </c>
      <c r="C43" s="86" t="inlineStr">
        <is>
          <t>Aprobado</t>
        </is>
      </c>
      <c r="D43" s="54" t="n"/>
      <c r="E43" s="54" t="n"/>
    </row>
    <row r="44" s="27">
      <c r="A44" s="86" t="inlineStr">
        <is>
          <t>CP-043</t>
        </is>
      </c>
      <c r="B44" s="86" t="inlineStr">
        <is>
          <t>HU-18</t>
        </is>
      </c>
      <c r="C44" s="86" t="inlineStr">
        <is>
          <t>Aprobado</t>
        </is>
      </c>
      <c r="D44" s="54" t="n"/>
      <c r="E44" s="54" t="n"/>
    </row>
    <row r="45" s="27">
      <c r="A45" s="86" t="inlineStr">
        <is>
          <t>CP-044</t>
        </is>
      </c>
      <c r="B45" s="86" t="inlineStr">
        <is>
          <t>HU-18</t>
        </is>
      </c>
      <c r="C45" s="86" t="inlineStr">
        <is>
          <t>Aprobado</t>
        </is>
      </c>
      <c r="D45" s="54" t="n"/>
      <c r="E45" s="54" t="n"/>
    </row>
    <row r="46" s="27">
      <c r="A46" s="86" t="inlineStr">
        <is>
          <t>CP-045</t>
        </is>
      </c>
      <c r="B46" s="86" t="inlineStr">
        <is>
          <t>HU-18</t>
        </is>
      </c>
      <c r="C46" s="86" t="inlineStr">
        <is>
          <t>Aprobado</t>
        </is>
      </c>
      <c r="D46" s="54" t="n"/>
      <c r="E46" s="54" t="n"/>
    </row>
    <row r="47" s="27">
      <c r="A47" s="86" t="inlineStr">
        <is>
          <t>CP-046</t>
        </is>
      </c>
      <c r="B47" s="86" t="inlineStr">
        <is>
          <t>HU-18</t>
        </is>
      </c>
      <c r="C47" s="86" t="inlineStr">
        <is>
          <t>Aprobado</t>
        </is>
      </c>
      <c r="D47" s="54" t="n"/>
      <c r="E47" s="54" t="n"/>
    </row>
    <row r="48" s="27">
      <c r="A48" s="86" t="inlineStr">
        <is>
          <t>CP-047</t>
        </is>
      </c>
      <c r="B48" s="86" t="inlineStr">
        <is>
          <t>HU-18</t>
        </is>
      </c>
      <c r="C48" s="86" t="inlineStr">
        <is>
          <t>Aprobado</t>
        </is>
      </c>
      <c r="D48" s="54" t="n"/>
      <c r="E48" s="54" t="n"/>
    </row>
    <row r="49" s="27">
      <c r="A49" s="86" t="inlineStr">
        <is>
          <t>CP-048</t>
        </is>
      </c>
      <c r="B49" s="86" t="inlineStr">
        <is>
          <t>HU-18</t>
        </is>
      </c>
      <c r="C49" s="86" t="inlineStr">
        <is>
          <t>Aprobado</t>
        </is>
      </c>
      <c r="D49" s="54" t="n"/>
      <c r="E49" s="54" t="n"/>
    </row>
    <row r="50" s="27">
      <c r="A50" s="86" t="inlineStr">
        <is>
          <t>CP-049</t>
        </is>
      </c>
      <c r="B50" s="86" t="inlineStr">
        <is>
          <t>HU-18</t>
        </is>
      </c>
      <c r="C50" s="86" t="inlineStr">
        <is>
          <t>Aprobado</t>
        </is>
      </c>
      <c r="D50" s="54" t="n"/>
      <c r="E50" s="54" t="n"/>
    </row>
    <row r="51" s="27">
      <c r="A51" s="86" t="inlineStr">
        <is>
          <t>CP-050</t>
        </is>
      </c>
      <c r="B51" s="86" t="inlineStr">
        <is>
          <t>HU-18</t>
        </is>
      </c>
      <c r="C51" s="86" t="inlineStr">
        <is>
          <t>Aprobado</t>
        </is>
      </c>
      <c r="D51" s="54" t="n"/>
      <c r="E51" s="54" t="n"/>
    </row>
    <row r="52" s="27">
      <c r="A52" s="86" t="inlineStr">
        <is>
          <t>CP-051</t>
        </is>
      </c>
      <c r="B52" s="86" t="inlineStr">
        <is>
          <t>HU-18</t>
        </is>
      </c>
      <c r="C52" s="86" t="inlineStr">
        <is>
          <t>Fallido</t>
        </is>
      </c>
      <c r="D52" s="54" t="n"/>
      <c r="E52" s="54" t="n"/>
    </row>
    <row r="53" s="27">
      <c r="A53" s="86" t="inlineStr">
        <is>
          <t>CP-052</t>
        </is>
      </c>
      <c r="B53" s="86" t="inlineStr">
        <is>
          <t>HU-18</t>
        </is>
      </c>
      <c r="C53" s="86" t="inlineStr">
        <is>
          <t>Aprobado</t>
        </is>
      </c>
      <c r="D53" s="54" t="n"/>
      <c r="E53" s="54" t="n"/>
    </row>
    <row r="54" s="27">
      <c r="A54" s="86" t="inlineStr">
        <is>
          <t>CP-053</t>
        </is>
      </c>
      <c r="B54" s="86" t="inlineStr">
        <is>
          <t>HU-18</t>
        </is>
      </c>
      <c r="C54" s="86" t="inlineStr">
        <is>
          <t>Aprobado</t>
        </is>
      </c>
      <c r="D54" s="54" t="n"/>
      <c r="E54" s="54" t="n"/>
    </row>
    <row r="55" s="27">
      <c r="A55" s="86" t="inlineStr">
        <is>
          <t>CP-054</t>
        </is>
      </c>
      <c r="B55" s="86" t="inlineStr">
        <is>
          <t>HU-18</t>
        </is>
      </c>
      <c r="C55" s="86" t="inlineStr">
        <is>
          <t>Aprobado</t>
        </is>
      </c>
      <c r="D55" s="54" t="n"/>
      <c r="E55" s="54" t="n"/>
    </row>
    <row r="56" s="27">
      <c r="A56" s="86" t="inlineStr">
        <is>
          <t>CP-055</t>
        </is>
      </c>
      <c r="B56" s="86" t="inlineStr">
        <is>
          <t>HU-18</t>
        </is>
      </c>
      <c r="C56" s="86" t="inlineStr">
        <is>
          <t>Aprobado</t>
        </is>
      </c>
      <c r="D56" s="54" t="n"/>
      <c r="E56" s="54" t="n"/>
    </row>
    <row r="57" s="27">
      <c r="A57" s="86" t="inlineStr">
        <is>
          <t>CP-056</t>
        </is>
      </c>
      <c r="B57" s="86" t="inlineStr">
        <is>
          <t>HU-18</t>
        </is>
      </c>
      <c r="C57" s="86" t="inlineStr">
        <is>
          <t>Aprobado</t>
        </is>
      </c>
      <c r="D57" s="54" t="n"/>
      <c r="E57" s="54" t="n"/>
    </row>
    <row r="58" s="27">
      <c r="A58" s="86" t="inlineStr">
        <is>
          <t>CP-057</t>
        </is>
      </c>
      <c r="B58" s="86" t="inlineStr">
        <is>
          <t>HU-18</t>
        </is>
      </c>
      <c r="C58" s="86" t="inlineStr">
        <is>
          <t>Aprobado</t>
        </is>
      </c>
      <c r="D58" s="54" t="n"/>
      <c r="E58" s="54" t="n"/>
    </row>
    <row r="59" s="27">
      <c r="A59" s="86" t="inlineStr">
        <is>
          <t>CP-058</t>
        </is>
      </c>
      <c r="B59" s="86" t="inlineStr">
        <is>
          <t>HU-18</t>
        </is>
      </c>
      <c r="C59" s="86" t="inlineStr">
        <is>
          <t>Aprobado</t>
        </is>
      </c>
      <c r="D59" s="54" t="n"/>
      <c r="E59" s="54" t="n"/>
    </row>
    <row r="60" s="27">
      <c r="A60" s="86" t="n"/>
      <c r="B60" s="86" t="n"/>
      <c r="C60" s="86" t="n"/>
      <c r="D60" s="54" t="n"/>
      <c r="E60" s="54" t="n"/>
    </row>
    <row r="61" s="27">
      <c r="A61" s="86" t="n"/>
      <c r="B61" s="86" t="n"/>
      <c r="C61" s="86" t="n"/>
      <c r="D61" s="54" t="n"/>
      <c r="E61" s="54" t="n"/>
    </row>
    <row r="62" s="27">
      <c r="A62" s="86" t="n"/>
      <c r="B62" s="86" t="n"/>
      <c r="C62" s="86" t="n"/>
      <c r="D62" s="54" t="n"/>
      <c r="E62" s="54" t="n"/>
    </row>
    <row r="63" s="27">
      <c r="A63" s="86" t="n"/>
      <c r="B63" s="86" t="n"/>
      <c r="C63" s="86" t="n"/>
      <c r="D63" s="54" t="n"/>
      <c r="E63" s="54" t="n"/>
    </row>
    <row r="64" s="27">
      <c r="A64" s="86" t="n"/>
      <c r="B64" s="86" t="n"/>
      <c r="C64" s="86" t="n"/>
      <c r="D64" s="54" t="n"/>
      <c r="E64" s="54" t="n"/>
    </row>
    <row r="65" s="27">
      <c r="A65" s="86" t="n"/>
      <c r="B65" s="86" t="n"/>
      <c r="C65" s="86" t="n"/>
      <c r="D65" s="54" t="n"/>
      <c r="E65" s="54" t="n"/>
    </row>
    <row r="66" s="27">
      <c r="A66" s="86" t="n"/>
      <c r="B66" s="86" t="n"/>
      <c r="C66" s="86" t="n"/>
      <c r="D66" s="54" t="n"/>
      <c r="E66" s="54" t="n"/>
    </row>
    <row r="67" s="27">
      <c r="A67" s="86" t="n"/>
      <c r="B67" s="86" t="n"/>
      <c r="C67" s="86" t="n"/>
      <c r="D67" s="54" t="n"/>
      <c r="E67" s="54" t="n"/>
    </row>
    <row r="68" s="27">
      <c r="A68" s="86" t="n"/>
      <c r="B68" s="86" t="n"/>
      <c r="C68" s="86" t="n"/>
      <c r="D68" s="54" t="n"/>
      <c r="E68" s="54" t="n"/>
    </row>
    <row r="69" s="27">
      <c r="A69" s="86" t="n"/>
      <c r="B69" s="86" t="n"/>
      <c r="C69" s="86" t="n"/>
      <c r="D69" s="54" t="n"/>
      <c r="E69" s="54" t="n"/>
    </row>
    <row r="70" s="27">
      <c r="A70" s="86" t="n"/>
      <c r="B70" s="86" t="n"/>
      <c r="C70" s="86" t="n"/>
      <c r="D70" s="54" t="n"/>
      <c r="E70" s="5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6441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2" customWidth="1" style="27" min="2" max="2"/>
    <col width="16" customWidth="1" style="27" min="3" max="3"/>
  </cols>
  <sheetData>
    <row r="1" s="27">
      <c r="A1" s="84" t="inlineStr">
        <is>
          <t>ID</t>
        </is>
      </c>
      <c r="B1" s="84" t="inlineStr">
        <is>
          <t>Historia</t>
        </is>
      </c>
      <c r="C1" s="84" t="inlineStr">
        <is>
          <t>Estado</t>
        </is>
      </c>
      <c r="D1" s="54" t="n"/>
      <c r="E1" s="85" t="inlineStr">
        <is>
          <t>Se llena con sincronizar_rtm.py desde el libro de origen. No editar a mano.</t>
        </is>
      </c>
    </row>
    <row r="2">
      <c r="A2" s="26" t="inlineStr">
        <is>
          <t>DEF-01</t>
        </is>
      </c>
      <c r="B2" s="26" t="inlineStr">
        <is>
          <t>HT-06</t>
        </is>
      </c>
      <c r="C2" s="26" t="inlineStr">
        <is>
          <t>Nuevo</t>
        </is>
      </c>
    </row>
    <row r="3">
      <c r="A3" s="26" t="inlineStr">
        <is>
          <t>DEF-02</t>
        </is>
      </c>
      <c r="B3" s="26" t="inlineStr">
        <is>
          <t>HT-06</t>
        </is>
      </c>
      <c r="C3" s="26" t="inlineStr">
        <is>
          <t>Nuevo</t>
        </is>
      </c>
    </row>
    <row r="4" s="27">
      <c r="A4" s="26" t="inlineStr">
        <is>
          <t>DEF-03</t>
        </is>
      </c>
      <c r="B4" s="26" t="inlineStr">
        <is>
          <t>HT-06</t>
        </is>
      </c>
      <c r="C4" s="26" t="inlineStr">
        <is>
          <t>Nuevo</t>
        </is>
      </c>
    </row>
    <row r="5">
      <c r="A5" s="26" t="inlineStr">
        <is>
          <t>DEF-04</t>
        </is>
      </c>
      <c r="B5" s="26" t="inlineStr">
        <is>
          <t>HU-18</t>
        </is>
      </c>
      <c r="C5" s="26" t="inlineStr">
        <is>
          <t>Nuevo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2026-10-23T19:16:06Z</dcterms:created>
  <dcterms:modified xmlns:dcterms="http://purl.org/dc/terms/" xmlns:xsi="http://www.w3.org/2001/XMLSchema-instance" xsi:type="dcterms:W3CDTF">2026-10-28T20:33:17Z</dcterms:modified>
  <cp:lastModifiedBy>Desarrollo Ceneris</cp:lastModifiedBy>
  <cp:revision>0</cp:revision>
</cp:coreProperties>
</file>