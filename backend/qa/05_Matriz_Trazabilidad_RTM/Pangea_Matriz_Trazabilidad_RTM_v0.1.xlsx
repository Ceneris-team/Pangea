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Pangea (tablero PP)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HT-06 del tablero PP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Elliot (JS en Jira), QA / Tester</t>
        </is>
      </c>
    </row>
    <row r="7" ht="18.5" customHeight="1" s="27">
      <c r="A7" s="89" t="inlineStr">
        <is>
          <t>Versión</t>
        </is>
      </c>
      <c r="B7" s="57" t="inlineStr">
        <is>
          <t>0.1</t>
        </is>
      </c>
    </row>
    <row r="8" ht="33" customHeight="1" s="27">
      <c r="A8" s="89" t="inlineStr">
        <is>
          <t>Fecha de elaboración</t>
        </is>
      </c>
      <c r="B8" s="57" t="inlineStr">
        <is>
          <t>28/10/2026 · Ronda 1 de HT-06 (un dia)</t>
        </is>
      </c>
    </row>
    <row r="9" ht="18.5" customHeight="1" s="27">
      <c r="A9" s="89" t="inlineStr">
        <is>
          <t>Estado</t>
        </is>
      </c>
      <c r="B9" s="57" t="inlineStr">
        <is>
          <t>Borrador (X)     En revisión ( 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Pangea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n"/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inlineStr">
        <is>
          <t>RQ-HT06-01</t>
        </is>
      </c>
      <c r="B2" s="57" t="inlineStr">
        <is>
          <t>Despliegue de la API, los workers y el receptor FTP/TCP por imagenes Docker en el Container Service, un contenedor por componente (CA1)</t>
        </is>
      </c>
      <c r="C2" s="57" t="inlineStr">
        <is>
          <t>HT-06 · criterio de aceptacion</t>
        </is>
      </c>
      <c r="D2" s="57" t="inlineStr">
        <is>
          <t>HT-06</t>
        </is>
      </c>
      <c r="E2" s="57" t="inlineStr">
        <is>
          <t>PP-125</t>
        </is>
      </c>
      <c r="F2" s="57" t="inlineStr">
        <is>
          <t>Alta</t>
        </is>
      </c>
      <c r="G2" s="57" t="inlineStr">
        <is>
          <t>CP-001, CP-002, CP-003, CP-004, CP-005</t>
        </is>
      </c>
      <c r="H2" s="57">
        <f>IF(TRIM(G2)="",IF(A2="","",0),LEN(G2)-LEN(SUBSTITUTE(G2,",",""))+1)</f>
        <v/>
      </c>
      <c r="I2" s="57">
        <f>IF(A2="","",IF(N(H2)=0,"Sin cubrir","Cubierto"))</f>
        <v/>
      </c>
      <c r="J2" s="67" t="inlineStr">
        <is>
          <t>Fallido</t>
        </is>
      </c>
      <c r="K2" s="68" t="inlineStr">
        <is>
          <t>DEF-03</t>
        </is>
      </c>
      <c r="L2" s="68" t="inlineStr">
        <is>
          <t>—</t>
        </is>
      </c>
      <c r="M2" s="68" t="inlineStr">
        <is>
          <t>RG-03, RG-04</t>
        </is>
      </c>
    </row>
    <row r="3" ht="33" customFormat="1" customHeight="1" s="41">
      <c r="A3" s="57" t="inlineStr">
        <is>
          <t>RQ-HT06-02</t>
        </is>
      </c>
      <c r="B3" s="57" t="inlineStr">
        <is>
          <t>PostgreSQL en modo privado, sin acceso desde internet (CA2)</t>
        </is>
      </c>
      <c r="C3" s="57" t="inlineStr">
        <is>
          <t>HT-06 · criterio de aceptacion</t>
        </is>
      </c>
      <c r="D3" s="57" t="inlineStr">
        <is>
          <t>HT-06</t>
        </is>
      </c>
      <c r="E3" s="57" t="inlineStr">
        <is>
          <t>PP-126</t>
        </is>
      </c>
      <c r="F3" s="57" t="inlineStr">
        <is>
          <t>Alta</t>
        </is>
      </c>
      <c r="G3" s="57" t="inlineStr">
        <is>
          <t>CP-006, CP-007, CP-008</t>
        </is>
      </c>
      <c r="H3" s="57">
        <f>IF(TRIM(G3)="",IF(A3="","",0),LEN(G3)-LEN(SUBSTITUTE(G3,",",""))+1)</f>
        <v/>
      </c>
      <c r="I3" s="57">
        <f>IF(A3="","",IF(N(H3)=0,"Sin cubrir","Cubierto"))</f>
        <v/>
      </c>
      <c r="J3" s="67" t="inlineStr">
        <is>
          <t>Fallido</t>
        </is>
      </c>
      <c r="K3" s="68" t="inlineStr">
        <is>
          <t>DEF-01</t>
        </is>
      </c>
      <c r="L3" s="68" t="inlineStr">
        <is>
          <t>—</t>
        </is>
      </c>
      <c r="M3" s="69" t="inlineStr">
        <is>
          <t>RG-01</t>
        </is>
      </c>
    </row>
    <row r="4" ht="33" customFormat="1" customHeight="1" s="41">
      <c r="A4" s="57" t="inlineStr">
        <is>
          <t>RQ-HT06-03</t>
        </is>
      </c>
      <c r="B4" s="57" t="inlineStr">
        <is>
          <t>Archivos .dat y exportaciones persistidos en Object Storage y vivos tras un redeploy (CA3)</t>
        </is>
      </c>
      <c r="C4" s="57" t="inlineStr">
        <is>
          <t>HT-06 · criterio de aceptacion</t>
        </is>
      </c>
      <c r="D4" s="57" t="inlineStr">
        <is>
          <t>HT-06</t>
        </is>
      </c>
      <c r="E4" s="57" t="inlineStr">
        <is>
          <t>PP-127</t>
        </is>
      </c>
      <c r="F4" s="57" t="inlineStr">
        <is>
          <t>Alta</t>
        </is>
      </c>
      <c r="G4" s="57" t="inlineStr">
        <is>
          <t>CP-009, CP-010, CP-011, CP-012, CP-013</t>
        </is>
      </c>
      <c r="H4" s="57">
        <f>IF(TRIM(G4)="",IF(A4="","",0),LEN(G4)-LEN(SUBSTITUTE(G4,",",""))+1)</f>
        <v/>
      </c>
      <c r="I4" s="57">
        <f>IF(A4="","",IF(N(H4)=0,"Sin cubrir","Cubierto"))</f>
        <v/>
      </c>
      <c r="J4" s="67" t="inlineStr">
        <is>
          <t>Parcial (1/5)</t>
        </is>
      </c>
      <c r="K4" s="68" t="inlineStr">
        <is>
          <t>—</t>
        </is>
      </c>
      <c r="L4" s="69" t="inlineStr">
        <is>
          <t>—</t>
        </is>
      </c>
      <c r="M4" s="68" t="inlineStr">
        <is>
          <t>—</t>
        </is>
      </c>
    </row>
    <row r="5" ht="33" customFormat="1" customHeight="1" s="41">
      <c r="A5" s="57" t="inlineStr">
        <is>
          <t>RQ-HT06-04</t>
        </is>
      </c>
      <c r="B5" s="57" t="inlineStr">
        <is>
          <t>Respaldo semanal de la BD a Object Storage, cifrado, con retencion de 12 meses (CA4)</t>
        </is>
      </c>
      <c r="C5" s="57" t="inlineStr">
        <is>
          <t>HT-06 · criterio de aceptacion</t>
        </is>
      </c>
      <c r="D5" s="57" t="inlineStr">
        <is>
          <t>HT-06</t>
        </is>
      </c>
      <c r="E5" s="57" t="inlineStr">
        <is>
          <t>PP-129</t>
        </is>
      </c>
      <c r="F5" s="57" t="inlineStr">
        <is>
          <t>Alta</t>
        </is>
      </c>
      <c r="G5" s="57" t="inlineStr">
        <is>
          <t>CP-014, CP-015, CP-016, CP-017</t>
        </is>
      </c>
      <c r="H5" s="57">
        <f>IF(TRIM(G5)="",IF(A5="","",0),LEN(G5)-LEN(SUBSTITUTE(G5,",",""))+1)</f>
        <v/>
      </c>
      <c r="I5" s="57">
        <f>IF(A5="","",IF(N(H5)=0,"Sin cubrir","Cubierto"))</f>
        <v/>
      </c>
      <c r="J5" s="67" t="inlineStr">
        <is>
          <t>Bloqueado</t>
        </is>
      </c>
      <c r="K5" s="68" t="inlineStr">
        <is>
          <t>—</t>
        </is>
      </c>
      <c r="L5" s="68" t="inlineStr">
        <is>
          <t>—</t>
        </is>
      </c>
      <c r="M5" s="68" t="inlineStr">
        <is>
          <t>—</t>
        </is>
      </c>
    </row>
    <row r="6" ht="33" customHeight="1" s="27">
      <c r="A6" s="57" t="inlineStr">
        <is>
          <t>RQ-HT06-05</t>
        </is>
      </c>
      <c r="B6" s="57" t="inlineStr">
        <is>
          <t>Cadena de conexion y credenciales por variables de entorno, sin aparecer en el codigo (CA5)</t>
        </is>
      </c>
      <c r="C6" s="57" t="inlineStr">
        <is>
          <t>HT-06 · criterio de aceptacion</t>
        </is>
      </c>
      <c r="D6" s="57" t="inlineStr">
        <is>
          <t>HT-06</t>
        </is>
      </c>
      <c r="E6" s="57" t="inlineStr">
        <is>
          <t>PP-128</t>
        </is>
      </c>
      <c r="F6" s="57" t="inlineStr">
        <is>
          <t>Alta</t>
        </is>
      </c>
      <c r="G6" s="57" t="inlineStr">
        <is>
          <t>CP-018, CP-019, CP-020, CP-021, CP-022, CP-023, CP-024</t>
        </is>
      </c>
      <c r="H6" s="57">
        <f>IF(TRIM(G6)="",IF(A6="","",0),LEN(G6)-LEN(SUBSTITUTE(G6,",",""))+1)</f>
        <v/>
      </c>
      <c r="I6" s="57">
        <f>IF(A6="","",IF(N(H6)=0,"Sin cubrir","Cubierto"))</f>
        <v/>
      </c>
      <c r="J6" s="67" t="inlineStr">
        <is>
          <t>Fallido</t>
        </is>
      </c>
      <c r="K6" s="68" t="inlineStr">
        <is>
          <t>DEF-02</t>
        </is>
      </c>
      <c r="L6" s="68" t="inlineStr">
        <is>
          <t>—</t>
        </is>
      </c>
      <c r="M6" s="69" t="inlineStr">
        <is>
          <t>RG-02</t>
        </is>
      </c>
    </row>
    <row r="7" ht="33" customHeight="1" s="27">
      <c r="A7" s="57" t="inlineStr">
        <is>
          <t>RQ-HT06-06</t>
        </is>
      </c>
      <c r="B7" s="57" t="inlineStr">
        <is>
          <t>Tres entornos separados: desarrollo, staging y produccion (procedimiento)</t>
        </is>
      </c>
      <c r="C7" s="57" t="inlineStr">
        <is>
          <t>HT-06 · criterio de aceptacion</t>
        </is>
      </c>
      <c r="D7" s="57" t="inlineStr">
        <is>
          <t>HT-06</t>
        </is>
      </c>
      <c r="E7" s="57" t="inlineStr">
        <is>
          <t>—</t>
        </is>
      </c>
      <c r="F7" s="57" t="inlineStr">
        <is>
          <t>Media</t>
        </is>
      </c>
      <c r="G7" s="57" t="inlineStr">
        <is>
          <t>CP-025</t>
        </is>
      </c>
      <c r="H7" s="57">
        <f>IF(TRIM(G7)="",IF(A7="","",0),LEN(G7)-LEN(SUBSTITUTE(G7,",",""))+1)</f>
        <v/>
      </c>
      <c r="I7" s="57">
        <f>IF(A7="","",IF(N(H7)=0,"Sin cubrir","Cubierto"))</f>
        <v/>
      </c>
      <c r="J7" s="67" t="inlineStr">
        <is>
          <t>Bloqueado</t>
        </is>
      </c>
      <c r="K7" s="68" t="inlineStr">
        <is>
          <t>—</t>
        </is>
      </c>
      <c r="L7" s="68" t="inlineStr">
        <is>
          <t>—</t>
        </is>
      </c>
      <c r="M7" s="68" t="inlineStr">
        <is>
          <t>—</t>
        </is>
      </c>
    </row>
    <row r="8" ht="33" customHeight="1" s="27">
      <c r="A8" s="57" t="inlineStr">
        <is>
          <t>RQ-HT06-07</t>
        </is>
      </c>
      <c r="B8" s="57" t="inlineStr">
        <is>
          <t>Umbral de migracion explicito a TimescaleDB (5 clientes activos o dashboard &gt; 3 s) (procedimiento)</t>
        </is>
      </c>
      <c r="C8" s="57" t="inlineStr">
        <is>
          <t>HT-06 · criterio de aceptacion</t>
        </is>
      </c>
      <c r="D8" s="57" t="inlineStr">
        <is>
          <t>HT-06</t>
        </is>
      </c>
      <c r="E8" s="57" t="inlineStr">
        <is>
          <t>—</t>
        </is>
      </c>
      <c r="F8" s="57" t="inlineStr">
        <is>
          <t>Media</t>
        </is>
      </c>
      <c r="G8" s="57" t="inlineStr">
        <is>
          <t>CP-026, CP-029</t>
        </is>
      </c>
      <c r="H8" s="57">
        <f>IF(TRIM(G8)="",IF(A8="","",0),LEN(G8)-LEN(SUBSTITUTE(G8,",",""))+1)</f>
        <v/>
      </c>
      <c r="I8" s="57">
        <f>IF(A8="","",IF(N(H8)=0,"Sin cubrir","Cubierto"))</f>
        <v/>
      </c>
      <c r="J8" s="67" t="inlineStr">
        <is>
          <t>Parcial (1/2)</t>
        </is>
      </c>
      <c r="K8" s="68" t="inlineStr">
        <is>
          <t>—</t>
        </is>
      </c>
      <c r="L8" s="68" t="inlineStr">
        <is>
          <t>—</t>
        </is>
      </c>
      <c r="M8" s="68" t="inlineStr">
        <is>
          <t>—</t>
        </is>
      </c>
    </row>
    <row r="9" ht="33" customHeight="1" s="27">
      <c r="A9" s="57" t="inlineStr">
        <is>
          <t>RQ-HT06-08</t>
        </is>
      </c>
      <c r="B9" s="57" t="inlineStr">
        <is>
          <t>Restriccion de PostGIS documentada y poligonos como GeoJSON en columna JSON (v1.1)</t>
        </is>
      </c>
      <c r="C9" s="57" t="inlineStr">
        <is>
          <t>HT-06 · criterio de aceptacion</t>
        </is>
      </c>
      <c r="D9" s="57" t="inlineStr">
        <is>
          <t>HT-06</t>
        </is>
      </c>
      <c r="E9" s="57" t="inlineStr">
        <is>
          <t>—</t>
        </is>
      </c>
      <c r="F9" s="57" t="inlineStr">
        <is>
          <t>Media</t>
        </is>
      </c>
      <c r="G9" s="57" t="inlineStr">
        <is>
          <t>CP-027, CP-028</t>
        </is>
      </c>
      <c r="H9" s="57">
        <f>IF(TRIM(G9)="",IF(A9="","",0),LEN(G9)-LEN(SUBSTITUTE(G9,",",""))+1)</f>
        <v/>
      </c>
      <c r="I9" s="57">
        <f>IF(A9="","",IF(N(H9)=0,"Sin cubrir","Cubierto"))</f>
        <v/>
      </c>
      <c r="J9" s="67" t="inlineStr">
        <is>
          <t>Parcial (1/2)</t>
        </is>
      </c>
      <c r="K9" s="68" t="inlineStr">
        <is>
          <t>—</t>
        </is>
      </c>
      <c r="L9" s="69" t="inlineStr">
        <is>
          <t>—</t>
        </is>
      </c>
      <c r="M9" s="68" t="inlineStr">
        <is>
          <t>—</t>
        </is>
      </c>
    </row>
    <row r="10" ht="33" customHeight="1" s="27">
      <c r="A10" s="57" t="n"/>
      <c r="B10" s="57" t="n"/>
      <c r="C10" s="57" t="n"/>
      <c r="D10" s="57" t="n"/>
      <c r="E10" s="57" t="n"/>
      <c r="F10" s="57" t="n"/>
      <c r="G10" s="57" t="n"/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n"/>
      <c r="K10" s="68" t="n"/>
      <c r="L10" s="69" t="n"/>
      <c r="M10" s="69" t="n"/>
    </row>
    <row r="11" ht="33" customHeight="1" s="27">
      <c r="A11" s="57" t="n"/>
      <c r="B11" s="57" t="n"/>
      <c r="C11" s="57" t="n"/>
      <c r="D11" s="57" t="n"/>
      <c r="E11" s="57" t="n"/>
      <c r="F11" s="57" t="n"/>
      <c r="G11" s="57" t="n"/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n"/>
      <c r="K11" s="68" t="n"/>
      <c r="L11" s="68" t="n"/>
      <c r="M11" s="69" t="n"/>
    </row>
    <row r="12" ht="33" customHeight="1" s="27">
      <c r="A12" s="57" t="n"/>
      <c r="B12" s="57" t="n"/>
      <c r="C12" s="57" t="n"/>
      <c r="D12" s="57" t="n"/>
      <c r="E12" s="57" t="n"/>
      <c r="F12" s="57" t="n"/>
      <c r="G12" s="57" t="n"/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n"/>
      <c r="K12" s="68" t="n"/>
      <c r="L12" s="68" t="n"/>
      <c r="M12" s="68" t="n"/>
    </row>
    <row r="13" ht="33" customHeight="1" s="27">
      <c r="A13" s="57" t="n"/>
      <c r="B13" s="57" t="n"/>
      <c r="C13" s="57" t="n"/>
      <c r="D13" s="57" t="n"/>
      <c r="E13" s="57" t="n"/>
      <c r="F13" s="57" t="n"/>
      <c r="G13" s="57" t="n"/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n"/>
      <c r="K13" s="68" t="n"/>
      <c r="L13" s="68" t="n"/>
      <c r="M13" s="68" t="n"/>
    </row>
    <row r="14" ht="33" customHeight="1" s="27">
      <c r="A14" s="57" t="n"/>
      <c r="B14" s="57" t="n"/>
      <c r="C14" s="57" t="n"/>
      <c r="D14" s="57" t="n"/>
      <c r="E14" s="57" t="n"/>
      <c r="F14" s="57" t="n"/>
      <c r="G14" s="57" t="n"/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n"/>
      <c r="K14" s="68" t="n"/>
      <c r="L14" s="69" t="n"/>
      <c r="M14" s="69" t="n"/>
    </row>
    <row r="15" ht="33" customHeight="1" s="27">
      <c r="A15" s="57" t="n"/>
      <c r="B15" s="57" t="n"/>
      <c r="C15" s="57" t="n"/>
      <c r="D15" s="57" t="n"/>
      <c r="E15" s="57" t="n"/>
      <c r="F15" s="57" t="n"/>
      <c r="G15" s="57" t="n"/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n"/>
      <c r="K15" s="68" t="n"/>
      <c r="L15" s="69" t="n"/>
      <c r="M15" s="68" t="n"/>
    </row>
    <row r="16" ht="33" customHeight="1" s="27">
      <c r="A16" s="57" t="n"/>
      <c r="B16" s="57" t="n"/>
      <c r="C16" s="57" t="n"/>
      <c r="D16" s="57" t="n"/>
      <c r="E16" s="57" t="n"/>
      <c r="F16" s="57" t="n"/>
      <c r="G16" s="57" t="n"/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n"/>
      <c r="K16" s="68" t="n"/>
      <c r="L16" s="68" t="n"/>
      <c r="M16" s="68" t="n"/>
    </row>
    <row r="17" ht="33" customHeight="1" s="27">
      <c r="A17" s="57" t="n"/>
      <c r="B17" s="57" t="n"/>
      <c r="C17" s="57" t="n"/>
      <c r="D17" s="57" t="n"/>
      <c r="E17" s="57" t="n"/>
      <c r="F17" s="57" t="n"/>
      <c r="G17" s="57" t="n"/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n"/>
      <c r="K17" s="68" t="n"/>
      <c r="L17" s="69" t="n"/>
      <c r="M17" s="69" t="n"/>
    </row>
    <row r="18" ht="33" customHeight="1" s="27">
      <c r="A18" s="57" t="n"/>
      <c r="B18" s="57" t="n"/>
      <c r="C18" s="57" t="n"/>
      <c r="D18" s="57" t="n"/>
      <c r="E18" s="57" t="n"/>
      <c r="F18" s="57" t="n"/>
      <c r="G18" s="57" t="n"/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n"/>
      <c r="K18" s="68" t="n"/>
      <c r="L18" s="68" t="n"/>
      <c r="M18" s="68" t="n"/>
    </row>
    <row r="19" ht="33" customHeight="1" s="27">
      <c r="A19" s="57" t="n"/>
      <c r="B19" s="57" t="n"/>
      <c r="C19" s="57" t="n"/>
      <c r="D19" s="57" t="n"/>
      <c r="E19" s="57" t="n"/>
      <c r="F19" s="57" t="n"/>
      <c r="G19" s="57" t="n"/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n"/>
      <c r="K19" s="68" t="n"/>
      <c r="L19" s="69" t="n"/>
      <c r="M19" s="69" t="n"/>
    </row>
    <row r="20" ht="33" customHeight="1" s="27">
      <c r="A20" s="57" t="n"/>
      <c r="B20" s="57" t="n"/>
      <c r="C20" s="57" t="n"/>
      <c r="D20" s="57" t="n"/>
      <c r="E20" s="57" t="n"/>
      <c r="F20" s="57" t="n"/>
      <c r="G20" s="57" t="n"/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n"/>
      <c r="K20" s="68" t="n"/>
      <c r="L20" s="68" t="n"/>
      <c r="M20" s="69" t="n"/>
    </row>
    <row r="21" ht="47.5" customHeight="1" s="27">
      <c r="A21" s="57" t="n"/>
      <c r="B21" s="57" t="n"/>
      <c r="C21" s="57" t="n"/>
      <c r="D21" s="57" t="n"/>
      <c r="E21" s="57" t="n"/>
      <c r="F21" s="57" t="n"/>
      <c r="G21" s="57" t="n"/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n"/>
      <c r="K21" s="68" t="n"/>
      <c r="L21" s="68" t="n"/>
      <c r="M21" s="68" t="n"/>
    </row>
    <row r="22" ht="18.5" customHeight="1" s="27">
      <c r="A22" s="70" t="n"/>
      <c r="B22" s="70" t="n"/>
      <c r="C22" s="70" t="n"/>
      <c r="D22" s="70" t="n"/>
      <c r="E22" s="70" t="n"/>
      <c r="F22" s="70" t="n"/>
      <c r="G22" s="70" t="n"/>
      <c r="H22" s="57">
        <f>IF(TRIM(G22)="",IF(A22="","",0),LEN(G22)-LEN(SUBSTITUTE(G22,",",""))+1)</f>
        <v/>
      </c>
      <c r="I22" s="57">
        <f>IF(A22="","",IF(N(H22)=0,"Sin cubrir","Cubierto"))</f>
        <v/>
      </c>
      <c r="J22" s="71" t="n"/>
      <c r="K22" s="69" t="n"/>
      <c r="L22" s="69" t="n"/>
      <c r="M22" s="69" t="n"/>
    </row>
    <row r="23" ht="18.5" customHeight="1" s="27">
      <c r="A23" s="70" t="n"/>
      <c r="B23" s="70" t="n"/>
      <c r="C23" s="70" t="n"/>
      <c r="D23" s="70" t="n"/>
      <c r="E23" s="70" t="n"/>
      <c r="F23" s="70" t="n"/>
      <c r="G23" s="70" t="n"/>
      <c r="H23" s="57">
        <f>IF(TRIM(G23)="",IF(A23="","",0),LEN(G23)-LEN(SUBSTITUTE(G23,",",""))+1)</f>
        <v/>
      </c>
      <c r="I23" s="57">
        <f>IF(A23="","",IF(N(H23)=0,"Sin cubrir","Cubierto"))</f>
        <v/>
      </c>
      <c r="J23" s="71" t="n"/>
      <c r="K23" s="69" t="n"/>
      <c r="L23" s="69" t="n"/>
      <c r="M23" s="69" t="n"/>
    </row>
    <row r="24" ht="18.5" customHeight="1" s="27">
      <c r="A24" s="70" t="n"/>
      <c r="B24" s="70" t="n"/>
      <c r="C24" s="70" t="n"/>
      <c r="D24" s="70" t="n"/>
      <c r="E24" s="70" t="n"/>
      <c r="F24" s="70" t="n"/>
      <c r="G24" s="70" t="n"/>
      <c r="H24" s="57">
        <f>IF(TRIM(G24)="",IF(A24="","",0),LEN(G24)-LEN(SUBSTITUTE(G24,",",""))+1)</f>
        <v/>
      </c>
      <c r="I24" s="57">
        <f>IF(A24="","",IF(N(H24)=0,"Sin cubrir","Cubierto"))</f>
        <v/>
      </c>
      <c r="J24" s="71" t="n"/>
      <c r="K24" s="69" t="n"/>
      <c r="L24" s="69" t="n"/>
      <c r="M24" s="69" t="n"/>
    </row>
    <row r="25" ht="18.5" customHeight="1" s="27">
      <c r="A25" s="70" t="n"/>
      <c r="B25" s="70" t="n"/>
      <c r="C25" s="70" t="n"/>
      <c r="D25" s="70" t="n"/>
      <c r="E25" s="70" t="n"/>
      <c r="F25" s="70" t="n"/>
      <c r="G25" s="70" t="n"/>
      <c r="H25" s="57">
        <f>IF(TRIM(G25)="",IF(A25="","",0),LEN(G25)-LEN(SUBSTITUTE(G25,",",""))+1)</f>
        <v/>
      </c>
      <c r="I25" s="57">
        <f>IF(A25="","",IF(N(H25)=0,"Sin cubrir","Cubierto"))</f>
        <v/>
      </c>
      <c r="J25" s="71" t="n"/>
      <c r="K25" s="69" t="n"/>
      <c r="L25" s="69" t="n"/>
      <c r="M25" s="69" t="n"/>
    </row>
    <row r="26" ht="18.5" customHeight="1" s="27">
      <c r="A26" s="70" t="n"/>
      <c r="B26" s="70" t="n"/>
      <c r="C26" s="70" t="n"/>
      <c r="D26" s="70" t="n"/>
      <c r="E26" s="70" t="n"/>
      <c r="F26" s="70" t="n"/>
      <c r="G26" s="70" t="n"/>
      <c r="H26" s="57">
        <f>IF(TRIM(G26)="",IF(A26="","",0),LEN(G26)-LEN(SUBSTITUTE(G26,",",""))+1)</f>
        <v/>
      </c>
      <c r="I26" s="57">
        <f>IF(A26="","",IF(N(H26)=0,"Sin cubrir","Cubierto"))</f>
        <v/>
      </c>
      <c r="J26" s="71" t="n"/>
      <c r="K26" s="69" t="n"/>
      <c r="L26" s="69" t="n"/>
      <c r="M26" s="69" t="n"/>
    </row>
    <row r="27" ht="18.5" customHeight="1" s="27">
      <c r="A27" s="70" t="n"/>
      <c r="B27" s="70" t="n"/>
      <c r="C27" s="70" t="n"/>
      <c r="D27" s="70" t="n"/>
      <c r="E27" s="70" t="n"/>
      <c r="F27" s="70" t="n"/>
      <c r="G27" s="70" t="n"/>
      <c r="H27" s="57">
        <f>IF(TRIM(G27)="",IF(A27="","",0),LEN(G27)-LEN(SUBSTITUTE(G27,",",""))+1)</f>
        <v/>
      </c>
      <c r="I27" s="57">
        <f>IF(A27="","",IF(N(H27)=0,"Sin cubrir","Cubierto"))</f>
        <v/>
      </c>
      <c r="J27" s="70" t="n"/>
      <c r="K27" s="70" t="n"/>
      <c r="L27" s="70" t="n"/>
      <c r="M27" s="70" t="n"/>
    </row>
    <row r="28" ht="18.5" customHeight="1" s="27">
      <c r="A28" s="70" t="n"/>
      <c r="B28" s="70" t="n"/>
      <c r="C28" s="70" t="n"/>
      <c r="D28" s="70" t="n"/>
      <c r="E28" s="70" t="n"/>
      <c r="F28" s="70" t="n"/>
      <c r="G28" s="70" t="n"/>
      <c r="H28" s="57">
        <f>IF(TRIM(G28)="",IF(A28="","",0),LEN(G28)-LEN(SUBSTITUTE(G28,",",""))+1)</f>
        <v/>
      </c>
      <c r="I28" s="57">
        <f>IF(A28="","",IF(N(H28)=0,"Sin cubrir","Cubierto"))</f>
        <v/>
      </c>
      <c r="J28" s="70" t="n"/>
      <c r="K28" s="70" t="n"/>
      <c r="L28" s="70" t="n"/>
      <c r="M28" s="70" t="n"/>
    </row>
    <row r="29" ht="18.5" customHeight="1" s="27">
      <c r="A29" s="70" t="n"/>
      <c r="B29" s="70" t="n"/>
      <c r="C29" s="70" t="n"/>
      <c r="D29" s="70" t="n"/>
      <c r="E29" s="70" t="n"/>
      <c r="F29" s="70" t="n"/>
      <c r="G29" s="70" t="n"/>
      <c r="H29" s="57">
        <f>IF(TRIM(G29)="",IF(A29="","",0),LEN(G29)-LEN(SUBSTITUTE(G29,",",""))+1)</f>
        <v/>
      </c>
      <c r="I29" s="57">
        <f>IF(A29="","",IF(N(H29)=0,"Sin cubrir","Cubierto"))</f>
        <v/>
      </c>
      <c r="J29" s="70" t="n"/>
      <c r="K29" s="70" t="n"/>
      <c r="L29" s="70" t="n"/>
      <c r="M29" s="70" t="n"/>
    </row>
    <row r="30" ht="18.5" customHeight="1" s="27">
      <c r="A30" s="70" t="n"/>
      <c r="B30" s="70" t="n"/>
      <c r="C30" s="70" t="n"/>
      <c r="D30" s="70" t="n"/>
      <c r="E30" s="70" t="n"/>
      <c r="F30" s="70" t="n"/>
      <c r="G30" s="70" t="n"/>
      <c r="H30" s="57">
        <f>IF(TRIM(G30)="",IF(A30="","",0),LEN(G30)-LEN(SUBSTITUTE(G30,",",""))+1)</f>
        <v/>
      </c>
      <c r="I30" s="57">
        <f>IF(A30="","",IF(N(H30)=0,"Sin cubrir","Cubierto"))</f>
        <v/>
      </c>
      <c r="J30" s="72" t="n"/>
      <c r="K30" s="70" t="n"/>
      <c r="L30" s="70" t="n"/>
      <c r="M30" s="70" t="n"/>
    </row>
    <row r="31" ht="18.5" customHeight="1" s="27">
      <c r="A31" s="70" t="n"/>
      <c r="B31" s="70" t="n"/>
      <c r="C31" s="70" t="n"/>
      <c r="D31" s="70" t="n"/>
      <c r="E31" s="70" t="n"/>
      <c r="F31" s="70" t="n"/>
      <c r="G31" s="70" t="n"/>
      <c r="H31" s="57">
        <f>IF(TRIM(G31)="",IF(A31="","",0),LEN(G31)-LEN(SUBSTITUTE(G31,",",""))+1)</f>
        <v/>
      </c>
      <c r="I31" s="57">
        <f>IF(A31="","",IF(N(H31)=0,"Sin cubrir","Cubierto"))</f>
        <v/>
      </c>
      <c r="J31" s="72" t="n"/>
      <c r="K31" s="70" t="n"/>
      <c r="L31" s="70" t="n"/>
      <c r="M31" s="70" t="n"/>
    </row>
    <row r="32" ht="18.5" customHeight="1" s="27">
      <c r="A32" s="70" t="n"/>
      <c r="B32" s="70" t="n"/>
      <c r="C32" s="70" t="n"/>
      <c r="D32" s="70" t="n"/>
      <c r="E32" s="70" t="n"/>
      <c r="F32" s="70" t="n"/>
      <c r="G32" s="70" t="n"/>
      <c r="H32" s="57">
        <f>IF(TRIM(G32)="",IF(A32="","",0),LEN(G32)-LEN(SUBSTITUTE(G32,",",""))+1)</f>
        <v/>
      </c>
      <c r="I32" s="57">
        <f>IF(A32="","",IF(N(H32)=0,"Sin cubrir","Cubierto"))</f>
        <v/>
      </c>
      <c r="J32" s="72" t="n"/>
      <c r="K32" s="70" t="n"/>
      <c r="L32" s="70" t="n"/>
      <c r="M32" s="70" t="n"/>
    </row>
    <row r="33" ht="18.5" customHeight="1" s="27">
      <c r="A33" s="70" t="n"/>
      <c r="B33" s="70" t="n"/>
      <c r="C33" s="70" t="n"/>
      <c r="D33" s="70" t="n"/>
      <c r="E33" s="70" t="n"/>
      <c r="F33" s="70" t="n"/>
      <c r="G33" s="70" t="n"/>
      <c r="H33" s="57">
        <f>IF(TRIM(G33)="",IF(A33="","",0),LEN(G33)-LEN(SUBSTITUTE(G33,",",""))+1)</f>
        <v/>
      </c>
      <c r="I33" s="57">
        <f>IF(A33="","",IF(N(H33)=0,"Sin cubrir","Cubierto"))</f>
        <v/>
      </c>
      <c r="J33" s="72" t="n"/>
      <c r="K33" s="70" t="n"/>
      <c r="L33" s="70" t="n"/>
      <c r="M33" s="70" t="n"/>
    </row>
    <row r="34" ht="18.5" customHeight="1" s="27">
      <c r="A34" s="70" t="n"/>
      <c r="B34" s="70" t="n"/>
      <c r="C34" s="70" t="n"/>
      <c r="D34" s="70" t="n"/>
      <c r="E34" s="70" t="n"/>
      <c r="F34" s="70" t="n"/>
      <c r="G34" s="70" t="n"/>
      <c r="H34" s="57">
        <f>IF(TRIM(G34)="",IF(A34="","",0),LEN(G34)-LEN(SUBSTITUTE(G34,",",""))+1)</f>
        <v/>
      </c>
      <c r="I34" s="57">
        <f>IF(A34="","",IF(N(H34)=0,"Sin cubrir","Cubierto"))</f>
        <v/>
      </c>
      <c r="J34" s="72" t="n"/>
      <c r="K34" s="70" t="n"/>
      <c r="L34" s="70" t="n"/>
      <c r="M34" s="70" t="n"/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inlineStr">
        <is>
          <t>HT-06</t>
        </is>
      </c>
      <c r="B2" s="57" t="inlineStr">
        <is>
          <t>HT-06</t>
        </is>
      </c>
      <c r="C2" s="57" t="inlineStr">
        <is>
          <t>Estrategia de despliegue e infraestructura en AWS Lightsail</t>
        </is>
      </c>
      <c r="D2" s="57" t="inlineStr">
        <is>
          <t>Infraestructura</t>
        </is>
      </c>
      <c r="E2" s="57" t="inlineStr">
        <is>
          <t>En curso</t>
        </is>
      </c>
      <c r="F2" s="57" t="inlineStr">
        <is>
          <t>Listo</t>
        </is>
      </c>
      <c r="G2" s="57" t="inlineStr">
        <is>
          <t>En curso</t>
        </is>
      </c>
      <c r="H2" s="57" t="inlineStr">
        <is>
          <t>RQ-HT06-01, RQ-HT06-02, RQ-HT06-03, RQ-HT06-04, RQ-HT06-05, RQ-HT06-06, RQ-HT06-07, RQ-HT06-08</t>
        </is>
      </c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inlineStr">
        <is>
          <t>DEF-01 (BD publica), DEF-02 (secretos en el historial) y DEF-03 (docker-compose); PP-127 y PP-129 no entregadas (PEN-02, PEN-03) y falta el receptor FTP/TCP (PEN-01)</t>
        </is>
      </c>
      <c r="R2" s="57" t="inlineStr">
        <is>
          <t>Despliegue activo con imagen api-b948aac.16 (commit b948aac); sin codigo de respaldo ni de Object Storage</t>
        </is>
      </c>
    </row>
    <row r="3" ht="91" customHeight="1" s="27">
      <c r="A3" s="57" t="n"/>
      <c r="B3" s="57" t="n"/>
      <c r="C3" s="57" t="n"/>
      <c r="D3" s="57" t="n"/>
      <c r="E3" s="57" t="n"/>
      <c r="F3" s="57" t="n"/>
      <c r="G3" s="57" t="n"/>
      <c r="H3" s="57" t="n"/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n"/>
      <c r="R3" s="57" t="n"/>
    </row>
    <row r="4" ht="18.5" customHeight="1" s="27">
      <c r="A4" s="70" t="n"/>
      <c r="B4" s="70" t="n"/>
      <c r="C4" s="70" t="n"/>
      <c r="D4" s="70" t="n"/>
      <c r="E4" s="70" t="n"/>
      <c r="F4" s="70" t="n"/>
      <c r="G4" s="70" t="n"/>
      <c r="H4" s="70" t="n"/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70" t="n"/>
      <c r="R4" s="70" t="n"/>
    </row>
    <row r="5" ht="18.5" customHeight="1" s="27">
      <c r="A5" s="70" t="n"/>
      <c r="B5" s="70" t="n"/>
      <c r="C5" s="70" t="n"/>
      <c r="D5" s="70" t="n"/>
      <c r="E5" s="70" t="n"/>
      <c r="F5" s="70" t="n"/>
      <c r="G5" s="70" t="n"/>
      <c r="H5" s="70" t="n"/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70" t="n"/>
      <c r="R5" s="70" t="n"/>
    </row>
    <row r="6" ht="18.5" customHeight="1" s="27">
      <c r="A6" s="70" t="n"/>
      <c r="B6" s="70" t="n"/>
      <c r="C6" s="70" t="n"/>
      <c r="D6" s="70" t="n"/>
      <c r="E6" s="70" t="n"/>
      <c r="F6" s="70" t="n"/>
      <c r="G6" s="70" t="n"/>
      <c r="H6" s="70" t="n"/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70" t="n"/>
      <c r="R6" s="70" t="n"/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inlineStr">
        <is>
          <t>CP-001</t>
        </is>
      </c>
      <c r="B2" s="86" t="inlineStr">
        <is>
          <t>HT-06</t>
        </is>
      </c>
      <c r="C2" s="86" t="inlineStr">
        <is>
          <t>Aprobado</t>
        </is>
      </c>
      <c r="D2" s="54" t="n"/>
      <c r="E2" s="54" t="n"/>
    </row>
    <row r="3" s="27">
      <c r="A3" s="86" t="inlineStr">
        <is>
          <t>CP-002</t>
        </is>
      </c>
      <c r="B3" s="86" t="inlineStr">
        <is>
          <t>HT-06</t>
        </is>
      </c>
      <c r="C3" s="86" t="inlineStr">
        <is>
          <t>Aprobado</t>
        </is>
      </c>
      <c r="D3" s="54" t="n"/>
      <c r="E3" s="54" t="n"/>
    </row>
    <row r="4" s="27">
      <c r="A4" s="86" t="inlineStr">
        <is>
          <t>CP-003</t>
        </is>
      </c>
      <c r="B4" s="86" t="inlineStr">
        <is>
          <t>HT-06</t>
        </is>
      </c>
      <c r="C4" s="86" t="inlineStr">
        <is>
          <t>Aprobado</t>
        </is>
      </c>
      <c r="D4" s="54" t="n"/>
      <c r="E4" s="54" t="n"/>
    </row>
    <row r="5" s="27">
      <c r="A5" s="86" t="inlineStr">
        <is>
          <t>CP-004</t>
        </is>
      </c>
      <c r="B5" s="86" t="inlineStr">
        <is>
          <t>HT-06</t>
        </is>
      </c>
      <c r="C5" s="86" t="inlineStr">
        <is>
          <t>Fallido</t>
        </is>
      </c>
      <c r="D5" s="54" t="n"/>
      <c r="E5" s="54" t="n"/>
    </row>
    <row r="6" s="27">
      <c r="A6" s="86" t="inlineStr">
        <is>
          <t>CP-005</t>
        </is>
      </c>
      <c r="B6" s="86" t="inlineStr">
        <is>
          <t>HT-06</t>
        </is>
      </c>
      <c r="C6" s="86" t="inlineStr">
        <is>
          <t>Bloqueado</t>
        </is>
      </c>
      <c r="D6" s="54" t="n"/>
      <c r="E6" s="54" t="n"/>
    </row>
    <row r="7" s="27">
      <c r="A7" s="86" t="inlineStr">
        <is>
          <t>CP-006</t>
        </is>
      </c>
      <c r="B7" s="86" t="inlineStr">
        <is>
          <t>HT-06</t>
        </is>
      </c>
      <c r="C7" s="86" t="inlineStr">
        <is>
          <t>Fallido</t>
        </is>
      </c>
      <c r="D7" s="54" t="n"/>
      <c r="E7" s="54" t="n"/>
    </row>
    <row r="8" s="27">
      <c r="A8" s="86" t="inlineStr">
        <is>
          <t>CP-007</t>
        </is>
      </c>
      <c r="B8" s="86" t="inlineStr">
        <is>
          <t>HT-06</t>
        </is>
      </c>
      <c r="C8" s="86" t="inlineStr">
        <is>
          <t>Fallido</t>
        </is>
      </c>
      <c r="D8" s="54" t="n"/>
      <c r="E8" s="54" t="n"/>
    </row>
    <row r="9" s="27">
      <c r="A9" s="86" t="inlineStr">
        <is>
          <t>CP-008</t>
        </is>
      </c>
      <c r="B9" s="86" t="inlineStr">
        <is>
          <t>HT-06</t>
        </is>
      </c>
      <c r="C9" s="86" t="inlineStr">
        <is>
          <t>Fallido</t>
        </is>
      </c>
      <c r="D9" s="54" t="n"/>
      <c r="E9" s="54" t="n"/>
    </row>
    <row r="10" s="27">
      <c r="A10" s="86" t="inlineStr">
        <is>
          <t>CP-009</t>
        </is>
      </c>
      <c r="B10" s="86" t="inlineStr">
        <is>
          <t>HT-06</t>
        </is>
      </c>
      <c r="C10" s="86" t="inlineStr">
        <is>
          <t>Aprobado</t>
        </is>
      </c>
      <c r="D10" s="54" t="n"/>
      <c r="E10" s="54" t="n"/>
    </row>
    <row r="11" s="27">
      <c r="A11" s="86" t="inlineStr">
        <is>
          <t>CP-010</t>
        </is>
      </c>
      <c r="B11" s="86" t="inlineStr">
        <is>
          <t>HT-06</t>
        </is>
      </c>
      <c r="C11" s="86" t="inlineStr">
        <is>
          <t>Bloqueado</t>
        </is>
      </c>
      <c r="D11" s="54" t="n"/>
      <c r="E11" s="54" t="n"/>
    </row>
    <row r="12" s="27">
      <c r="A12" s="86" t="inlineStr">
        <is>
          <t>CP-011</t>
        </is>
      </c>
      <c r="B12" s="86" t="inlineStr">
        <is>
          <t>HT-06</t>
        </is>
      </c>
      <c r="C12" s="86" t="inlineStr">
        <is>
          <t>Bloqueado</t>
        </is>
      </c>
      <c r="D12" s="54" t="n"/>
      <c r="E12" s="54" t="n"/>
    </row>
    <row r="13" s="27">
      <c r="A13" s="86" t="inlineStr">
        <is>
          <t>CP-012</t>
        </is>
      </c>
      <c r="B13" s="86" t="inlineStr">
        <is>
          <t>HT-06</t>
        </is>
      </c>
      <c r="C13" s="86" t="inlineStr">
        <is>
          <t>Bloqueado</t>
        </is>
      </c>
      <c r="D13" s="54" t="n"/>
      <c r="E13" s="54" t="n"/>
    </row>
    <row r="14" s="27">
      <c r="A14" s="86" t="inlineStr">
        <is>
          <t>CP-013</t>
        </is>
      </c>
      <c r="B14" s="86" t="inlineStr">
        <is>
          <t>HT-06</t>
        </is>
      </c>
      <c r="C14" s="86" t="inlineStr">
        <is>
          <t>Bloqueado</t>
        </is>
      </c>
      <c r="D14" s="54" t="n"/>
      <c r="E14" s="54" t="n"/>
    </row>
    <row r="15" s="27">
      <c r="A15" s="86" t="inlineStr">
        <is>
          <t>CP-014</t>
        </is>
      </c>
      <c r="B15" s="86" t="inlineStr">
        <is>
          <t>HT-06</t>
        </is>
      </c>
      <c r="C15" s="86" t="inlineStr">
        <is>
          <t>Bloqueado</t>
        </is>
      </c>
      <c r="D15" s="54" t="n"/>
      <c r="E15" s="54" t="n"/>
    </row>
    <row r="16" s="27">
      <c r="A16" s="86" t="inlineStr">
        <is>
          <t>CP-015</t>
        </is>
      </c>
      <c r="B16" s="86" t="inlineStr">
        <is>
          <t>HT-06</t>
        </is>
      </c>
      <c r="C16" s="86" t="inlineStr">
        <is>
          <t>Bloqueado</t>
        </is>
      </c>
      <c r="D16" s="54" t="n"/>
      <c r="E16" s="54" t="n"/>
    </row>
    <row r="17" s="27">
      <c r="A17" s="86" t="inlineStr">
        <is>
          <t>CP-016</t>
        </is>
      </c>
      <c r="B17" s="86" t="inlineStr">
        <is>
          <t>HT-06</t>
        </is>
      </c>
      <c r="C17" s="86" t="inlineStr">
        <is>
          <t>Bloqueado</t>
        </is>
      </c>
      <c r="D17" s="54" t="n"/>
      <c r="E17" s="54" t="n"/>
    </row>
    <row r="18" s="27">
      <c r="A18" s="86" t="inlineStr">
        <is>
          <t>CP-017</t>
        </is>
      </c>
      <c r="B18" s="86" t="inlineStr">
        <is>
          <t>HT-06</t>
        </is>
      </c>
      <c r="C18" s="86" t="inlineStr">
        <is>
          <t>Bloqueado</t>
        </is>
      </c>
      <c r="D18" s="54" t="n"/>
      <c r="E18" s="54" t="n"/>
    </row>
    <row r="19" s="27">
      <c r="A19" s="86" t="inlineStr">
        <is>
          <t>CP-018</t>
        </is>
      </c>
      <c r="B19" s="86" t="inlineStr">
        <is>
          <t>HT-06</t>
        </is>
      </c>
      <c r="C19" s="86" t="inlineStr">
        <is>
          <t>Aprobado</t>
        </is>
      </c>
      <c r="D19" s="54" t="n"/>
      <c r="E19" s="54" t="n"/>
    </row>
    <row r="20" s="27">
      <c r="A20" s="86" t="inlineStr">
        <is>
          <t>CP-019</t>
        </is>
      </c>
      <c r="B20" s="86" t="inlineStr">
        <is>
          <t>HT-06</t>
        </is>
      </c>
      <c r="C20" s="86" t="inlineStr">
        <is>
          <t>Aprobado</t>
        </is>
      </c>
      <c r="D20" s="54" t="n"/>
      <c r="E20" s="54" t="n"/>
    </row>
    <row r="21" s="27">
      <c r="A21" s="86" t="inlineStr">
        <is>
          <t>CP-020</t>
        </is>
      </c>
      <c r="B21" s="86" t="inlineStr">
        <is>
          <t>HT-06</t>
        </is>
      </c>
      <c r="C21" s="86" t="inlineStr">
        <is>
          <t>Aprobado</t>
        </is>
      </c>
      <c r="D21" s="54" t="n"/>
      <c r="E21" s="54" t="n"/>
    </row>
    <row r="22" s="27">
      <c r="A22" s="86" t="inlineStr">
        <is>
          <t>CP-021</t>
        </is>
      </c>
      <c r="B22" s="86" t="inlineStr">
        <is>
          <t>HT-06</t>
        </is>
      </c>
      <c r="C22" s="86" t="inlineStr">
        <is>
          <t>Aprobado</t>
        </is>
      </c>
      <c r="D22" s="54" t="n"/>
      <c r="E22" s="54" t="n"/>
    </row>
    <row r="23" s="27">
      <c r="A23" s="86" t="inlineStr">
        <is>
          <t>CP-022</t>
        </is>
      </c>
      <c r="B23" s="86" t="inlineStr">
        <is>
          <t>HT-06</t>
        </is>
      </c>
      <c r="C23" s="86" t="inlineStr">
        <is>
          <t>Aprobado</t>
        </is>
      </c>
      <c r="D23" s="54" t="n"/>
      <c r="E23" s="54" t="n"/>
    </row>
    <row r="24" s="27">
      <c r="A24" s="86" t="inlineStr">
        <is>
          <t>CP-023</t>
        </is>
      </c>
      <c r="B24" s="86" t="inlineStr">
        <is>
          <t>HT-06</t>
        </is>
      </c>
      <c r="C24" s="86" t="inlineStr">
        <is>
          <t>Fallido</t>
        </is>
      </c>
      <c r="D24" s="54" t="n"/>
      <c r="E24" s="54" t="n"/>
    </row>
    <row r="25" s="27">
      <c r="A25" s="86" t="inlineStr">
        <is>
          <t>CP-024</t>
        </is>
      </c>
      <c r="B25" s="86" t="inlineStr">
        <is>
          <t>HT-06</t>
        </is>
      </c>
      <c r="C25" s="86" t="inlineStr">
        <is>
          <t>Fallido</t>
        </is>
      </c>
      <c r="D25" s="54" t="n"/>
      <c r="E25" s="54" t="n"/>
    </row>
    <row r="26" s="27">
      <c r="A26" s="86" t="inlineStr">
        <is>
          <t>CP-025</t>
        </is>
      </c>
      <c r="B26" s="86" t="inlineStr">
        <is>
          <t>HT-06</t>
        </is>
      </c>
      <c r="C26" s="86" t="inlineStr">
        <is>
          <t>Bloqueado</t>
        </is>
      </c>
      <c r="D26" s="54" t="n"/>
      <c r="E26" s="54" t="n"/>
    </row>
    <row r="27" s="27">
      <c r="A27" s="86" t="inlineStr">
        <is>
          <t>CP-026</t>
        </is>
      </c>
      <c r="B27" s="86" t="inlineStr">
        <is>
          <t>HT-06</t>
        </is>
      </c>
      <c r="C27" s="86" t="inlineStr">
        <is>
          <t>Bloqueado</t>
        </is>
      </c>
      <c r="D27" s="54" t="n"/>
      <c r="E27" s="54" t="n"/>
    </row>
    <row r="28" s="27">
      <c r="A28" s="86" t="inlineStr">
        <is>
          <t>CP-027</t>
        </is>
      </c>
      <c r="B28" s="86" t="inlineStr">
        <is>
          <t>HT-06</t>
        </is>
      </c>
      <c r="C28" s="86" t="inlineStr">
        <is>
          <t>Bloqueado</t>
        </is>
      </c>
      <c r="D28" s="54" t="n"/>
      <c r="E28" s="54" t="n"/>
    </row>
    <row r="29" s="27">
      <c r="A29" s="86" t="inlineStr">
        <is>
          <t>CP-028</t>
        </is>
      </c>
      <c r="B29" s="86" t="inlineStr">
        <is>
          <t>HT-06</t>
        </is>
      </c>
      <c r="C29" s="86" t="inlineStr">
        <is>
          <t>Aprobado</t>
        </is>
      </c>
      <c r="D29" s="54" t="n"/>
      <c r="E29" s="54" t="n"/>
    </row>
    <row r="30" s="27">
      <c r="A30" s="86" t="inlineStr">
        <is>
          <t>CP-029</t>
        </is>
      </c>
      <c r="B30" s="86" t="inlineStr">
        <is>
          <t>HT-06</t>
        </is>
      </c>
      <c r="C30" s="86" t="inlineStr">
        <is>
          <t>Aprobado</t>
        </is>
      </c>
      <c r="D30" s="54" t="n"/>
      <c r="E30" s="54" t="n"/>
    </row>
    <row r="31" s="27">
      <c r="A31" s="86" t="n"/>
      <c r="B31" s="86" t="n"/>
      <c r="C31" s="86" t="n"/>
      <c r="D31" s="54" t="n"/>
      <c r="E31" s="54" t="n"/>
    </row>
    <row r="32" s="27">
      <c r="A32" s="86" t="n"/>
      <c r="B32" s="86" t="n"/>
      <c r="C32" s="86" t="n"/>
      <c r="D32" s="54" t="n"/>
      <c r="E32" s="54" t="n"/>
    </row>
    <row r="33" s="27">
      <c r="A33" s="86" t="n"/>
      <c r="B33" s="86" t="n"/>
      <c r="C33" s="86" t="n"/>
      <c r="D33" s="54" t="n"/>
      <c r="E33" s="54" t="n"/>
    </row>
    <row r="34" s="27">
      <c r="A34" s="86" t="n"/>
      <c r="B34" s="86" t="n"/>
      <c r="C34" s="86" t="n"/>
      <c r="D34" s="54" t="n"/>
      <c r="E34" s="54" t="n"/>
    </row>
    <row r="35" s="27">
      <c r="A35" s="86" t="n"/>
      <c r="B35" s="86" t="n"/>
      <c r="C35" s="86" t="n"/>
      <c r="D35" s="54" t="n"/>
      <c r="E35" s="54" t="n"/>
    </row>
    <row r="36" s="27">
      <c r="A36" s="86" t="n"/>
      <c r="B36" s="86" t="n"/>
      <c r="C36" s="86" t="n"/>
      <c r="D36" s="54" t="n"/>
      <c r="E36" s="54" t="n"/>
    </row>
    <row r="37" s="27">
      <c r="A37" s="86" t="n"/>
      <c r="B37" s="86" t="n"/>
      <c r="C37" s="86" t="n"/>
      <c r="D37" s="54" t="n"/>
      <c r="E37" s="54" t="n"/>
    </row>
    <row r="38" s="27">
      <c r="A38" s="86" t="n"/>
      <c r="B38" s="86" t="n"/>
      <c r="C38" s="86" t="n"/>
      <c r="D38" s="54" t="n"/>
      <c r="E38" s="54" t="n"/>
    </row>
    <row r="39" s="27">
      <c r="A39" s="86" t="n"/>
      <c r="B39" s="86" t="n"/>
      <c r="C39" s="86" t="n"/>
      <c r="D39" s="54" t="n"/>
      <c r="E39" s="54" t="n"/>
    </row>
    <row r="40" s="27">
      <c r="A40" s="86" t="n"/>
      <c r="B40" s="86" t="n"/>
      <c r="C40" s="86" t="n"/>
      <c r="D40" s="54" t="n"/>
      <c r="E40" s="54" t="n"/>
    </row>
    <row r="41" s="27">
      <c r="A41" s="86" t="n"/>
      <c r="B41" s="86" t="n"/>
      <c r="C41" s="86" t="n"/>
      <c r="D41" s="54" t="n"/>
      <c r="E41" s="54" t="n"/>
    </row>
    <row r="42" s="27">
      <c r="A42" s="86" t="n"/>
      <c r="B42" s="86" t="n"/>
      <c r="C42" s="86" t="n"/>
      <c r="D42" s="54" t="n"/>
      <c r="E42" s="54" t="n"/>
    </row>
    <row r="43" s="27">
      <c r="A43" s="86" t="n"/>
      <c r="B43" s="86" t="n"/>
      <c r="C43" s="86" t="n"/>
      <c r="D43" s="54" t="n"/>
      <c r="E43" s="54" t="n"/>
    </row>
    <row r="44" s="27">
      <c r="A44" s="86" t="n"/>
      <c r="B44" s="86" t="n"/>
      <c r="C44" s="86" t="n"/>
      <c r="D44" s="54" t="n"/>
      <c r="E44" s="54" t="n"/>
    </row>
    <row r="45" s="27">
      <c r="A45" s="86" t="n"/>
      <c r="B45" s="86" t="n"/>
      <c r="C45" s="86" t="n"/>
      <c r="D45" s="54" t="n"/>
      <c r="E45" s="54" t="n"/>
    </row>
    <row r="46" s="27">
      <c r="A46" s="86" t="n"/>
      <c r="B46" s="86" t="n"/>
      <c r="C46" s="86" t="n"/>
      <c r="D46" s="54" t="n"/>
      <c r="E46" s="54" t="n"/>
    </row>
    <row r="47" s="27">
      <c r="A47" s="86" t="n"/>
      <c r="B47" s="86" t="n"/>
      <c r="C47" s="86" t="n"/>
      <c r="D47" s="54" t="n"/>
      <c r="E47" s="54" t="n"/>
    </row>
    <row r="48" s="27">
      <c r="A48" s="86" t="n"/>
      <c r="B48" s="86" t="n"/>
      <c r="C48" s="86" t="n"/>
      <c r="D48" s="54" t="n"/>
      <c r="E48" s="54" t="n"/>
    </row>
    <row r="49" s="27">
      <c r="A49" s="86" t="n"/>
      <c r="B49" s="86" t="n"/>
      <c r="C49" s="86" t="n"/>
      <c r="D49" s="54" t="n"/>
      <c r="E49" s="54" t="n"/>
    </row>
    <row r="50" s="27">
      <c r="A50" s="86" t="n"/>
      <c r="B50" s="86" t="n"/>
      <c r="C50" s="86" t="n"/>
      <c r="D50" s="54" t="n"/>
      <c r="E50" s="54" t="n"/>
    </row>
    <row r="51" s="27">
      <c r="A51" s="86" t="n"/>
      <c r="B51" s="86" t="n"/>
      <c r="C51" s="86" t="n"/>
      <c r="D51" s="54" t="n"/>
      <c r="E51" s="54" t="n"/>
    </row>
    <row r="52" s="27">
      <c r="A52" s="86" t="n"/>
      <c r="B52" s="86" t="n"/>
      <c r="C52" s="86" t="n"/>
      <c r="D52" s="54" t="n"/>
      <c r="E52" s="54" t="n"/>
    </row>
    <row r="53" s="27">
      <c r="A53" s="86" t="n"/>
      <c r="B53" s="86" t="n"/>
      <c r="C53" s="86" t="n"/>
      <c r="D53" s="54" t="n"/>
      <c r="E53" s="54" t="n"/>
    </row>
    <row r="54" s="27">
      <c r="A54" s="86" t="n"/>
      <c r="B54" s="86" t="n"/>
      <c r="C54" s="86" t="n"/>
      <c r="D54" s="54" t="n"/>
      <c r="E54" s="54" t="n"/>
    </row>
    <row r="55" s="27">
      <c r="A55" s="86" t="n"/>
      <c r="B55" s="86" t="n"/>
      <c r="C55" s="86" t="n"/>
      <c r="D55" s="54" t="n"/>
      <c r="E55" s="54" t="n"/>
    </row>
    <row r="56" s="27">
      <c r="A56" s="86" t="n"/>
      <c r="B56" s="86" t="n"/>
      <c r="C56" s="86" t="n"/>
      <c r="D56" s="54" t="n"/>
      <c r="E56" s="54" t="n"/>
    </row>
    <row r="57" s="27">
      <c r="A57" s="86" t="n"/>
      <c r="B57" s="86" t="n"/>
      <c r="C57" s="86" t="n"/>
      <c r="D57" s="54" t="n"/>
      <c r="E57" s="54" t="n"/>
    </row>
    <row r="58" s="27">
      <c r="A58" s="86" t="n"/>
      <c r="B58" s="86" t="n"/>
      <c r="C58" s="86" t="n"/>
      <c r="D58" s="54" t="n"/>
      <c r="E58" s="54" t="n"/>
    </row>
    <row r="59" s="27">
      <c r="A59" s="86" t="n"/>
      <c r="B59" s="86" t="n"/>
      <c r="C59" s="86" t="n"/>
      <c r="D59" s="54" t="n"/>
      <c r="E59" s="54" t="n"/>
    </row>
    <row r="60" s="27">
      <c r="A60" s="86" t="n"/>
      <c r="B60" s="86" t="n"/>
      <c r="C60" s="86" t="n"/>
      <c r="D60" s="54" t="n"/>
      <c r="E60" s="54" t="n"/>
    </row>
    <row r="61" s="27">
      <c r="A61" s="86" t="n"/>
      <c r="B61" s="86" t="n"/>
      <c r="C61" s="86" t="n"/>
      <c r="D61" s="54" t="n"/>
      <c r="E61" s="54" t="n"/>
    </row>
    <row r="62" s="27">
      <c r="A62" s="86" t="n"/>
      <c r="B62" s="86" t="n"/>
      <c r="C62" s="86" t="n"/>
      <c r="D62" s="54" t="n"/>
      <c r="E62" s="54" t="n"/>
    </row>
    <row r="63" s="27">
      <c r="A63" s="86" t="n"/>
      <c r="B63" s="86" t="n"/>
      <c r="C63" s="86" t="n"/>
      <c r="D63" s="54" t="n"/>
      <c r="E63" s="54" t="n"/>
    </row>
    <row r="64" s="27">
      <c r="A64" s="86" t="n"/>
      <c r="B64" s="86" t="n"/>
      <c r="C64" s="86" t="n"/>
      <c r="D64" s="54" t="n"/>
      <c r="E64" s="54" t="n"/>
    </row>
    <row r="65" s="27">
      <c r="A65" s="86" t="n"/>
      <c r="B65" s="86" t="n"/>
      <c r="C65" s="86" t="n"/>
      <c r="D65" s="54" t="n"/>
      <c r="E65" s="54" t="n"/>
    </row>
    <row r="66" s="27">
      <c r="A66" s="86" t="n"/>
      <c r="B66" s="86" t="n"/>
      <c r="C66" s="86" t="n"/>
      <c r="D66" s="54" t="n"/>
      <c r="E66" s="54" t="n"/>
    </row>
    <row r="67" s="27">
      <c r="A67" s="86" t="n"/>
      <c r="B67" s="86" t="n"/>
      <c r="C67" s="86" t="n"/>
      <c r="D67" s="54" t="n"/>
      <c r="E67" s="54" t="n"/>
    </row>
    <row r="68" s="27">
      <c r="A68" s="86" t="n"/>
      <c r="B68" s="86" t="n"/>
      <c r="C68" s="86" t="n"/>
      <c r="D68" s="54" t="n"/>
      <c r="E68" s="54" t="n"/>
    </row>
    <row r="69" s="27">
      <c r="A69" s="86" t="n"/>
      <c r="B69" s="86" t="n"/>
      <c r="C69" s="86" t="n"/>
      <c r="D69" s="54" t="n"/>
      <c r="E69" s="54" t="n"/>
    </row>
    <row r="70" s="27">
      <c r="A70" s="86" t="n"/>
      <c r="B70" s="86" t="n"/>
      <c r="C70" s="86" t="n"/>
      <c r="D70" s="54" t="n"/>
      <c r="E70" s="5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>
      <c r="A2" t="inlineStr">
        <is>
          <t>DEF-01</t>
        </is>
      </c>
      <c r="B2" t="inlineStr">
        <is>
          <t>HT-06</t>
        </is>
      </c>
      <c r="C2" t="inlineStr">
        <is>
          <t>Nuevo</t>
        </is>
      </c>
    </row>
    <row r="3">
      <c r="A3" t="inlineStr">
        <is>
          <t>DEF-02</t>
        </is>
      </c>
      <c r="B3" t="inlineStr">
        <is>
          <t>HT-06</t>
        </is>
      </c>
      <c r="C3" t="inlineStr">
        <is>
          <t>Nuevo</t>
        </is>
      </c>
    </row>
    <row r="4">
      <c r="A4" t="inlineStr">
        <is>
          <t>DEF-03</t>
        </is>
      </c>
      <c r="B4" t="inlineStr">
        <is>
          <t>HT-06</t>
        </is>
      </c>
      <c r="C4" t="inlineStr">
        <is>
          <t>Nuevo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2026-10-28T18:39:13Z</dcterms:modified>
  <cp:lastModifiedBy>Desarrollo Ceneris</cp:lastModifiedBy>
  <cp:revision>0</cp:revision>
</cp:coreProperties>
</file>